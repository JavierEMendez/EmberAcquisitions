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mbergrp.sharepoint.com/sites/EMBERRealEstateInvestmentDevelopment/Shared Documents/10 - Hunington (Betka &amp; Kickapoo Corner)/HPI Deal/Reporting/"/>
    </mc:Choice>
  </mc:AlternateContent>
  <xr:revisionPtr revIDLastSave="340" documentId="8_{9F884DE0-F2AD-4090-96F6-68C2DC696F84}" xr6:coauthVersionLast="47" xr6:coauthVersionMax="47" xr10:uidLastSave="{95B5F387-AFBC-4EC8-B98E-D2BA77B166B5}"/>
  <bookViews>
    <workbookView minimized="1" xWindow="0" yWindow="7470" windowWidth="14400" windowHeight="5295" tabRatio="500" xr2:uid="{00000000-000D-0000-FFFF-FFFF00000000}"/>
  </bookViews>
  <sheets>
    <sheet name="Project Status Report" sheetId="1" r:id="rId1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6" i="1" l="1"/>
  <c r="O46" i="1"/>
  <c r="N46" i="1"/>
  <c r="P45" i="1"/>
  <c r="R45" i="1" s="1"/>
  <c r="P44" i="1"/>
  <c r="R44" i="1" s="1"/>
  <c r="P43" i="1"/>
  <c r="R43" i="1" s="1"/>
  <c r="P42" i="1"/>
  <c r="R42" i="1" s="1"/>
  <c r="P41" i="1"/>
  <c r="R41" i="1" s="1"/>
  <c r="P40" i="1"/>
  <c r="R40" i="1" s="1"/>
  <c r="P39" i="1"/>
  <c r="J41" i="1"/>
  <c r="G40" i="1"/>
  <c r="N31" i="1"/>
  <c r="N30" i="1"/>
  <c r="N22" i="1"/>
  <c r="N23" i="1" s="1"/>
  <c r="N17" i="1"/>
  <c r="N5" i="1"/>
  <c r="N9" i="1" s="1"/>
  <c r="F36" i="1"/>
  <c r="E30" i="1"/>
  <c r="G30" i="1" s="1"/>
  <c r="D24" i="1"/>
  <c r="E31" i="1"/>
  <c r="G31" i="1" s="1"/>
  <c r="E33" i="1"/>
  <c r="G33" i="1" s="1"/>
  <c r="E32" i="1"/>
  <c r="G32" i="1" s="1"/>
  <c r="E35" i="1"/>
  <c r="G35" i="1" s="1"/>
  <c r="E34" i="1"/>
  <c r="G34" i="1" s="1"/>
  <c r="E29" i="1"/>
  <c r="G29" i="1" s="1"/>
  <c r="E28" i="1"/>
  <c r="G28" i="1" s="1"/>
  <c r="E26" i="1"/>
  <c r="G26" i="1" s="1"/>
  <c r="E25" i="1"/>
  <c r="G25" i="1" s="1"/>
  <c r="E23" i="1"/>
  <c r="G23" i="1" s="1"/>
  <c r="E22" i="1"/>
  <c r="G22" i="1" s="1"/>
  <c r="E20" i="1"/>
  <c r="G20" i="1" s="1"/>
  <c r="E19" i="1"/>
  <c r="G19" i="1" s="1"/>
  <c r="E18" i="1"/>
  <c r="G18" i="1" s="1"/>
  <c r="E17" i="1"/>
  <c r="G17" i="1" s="1"/>
  <c r="C24" i="1"/>
  <c r="C27" i="1"/>
  <c r="E27" i="1" s="1"/>
  <c r="G27" i="1" s="1"/>
  <c r="C21" i="1"/>
  <c r="E21" i="1" s="1"/>
  <c r="G21" i="1" s="1"/>
  <c r="D16" i="1"/>
  <c r="C16" i="1"/>
  <c r="E16" i="1" s="1"/>
  <c r="G16" i="1" s="1"/>
  <c r="N24" i="1" l="1"/>
  <c r="N25" i="1"/>
  <c r="K30" i="1"/>
  <c r="I30" i="1"/>
  <c r="J30" i="1"/>
  <c r="I31" i="1"/>
  <c r="K31" i="1"/>
  <c r="J31" i="1"/>
  <c r="I33" i="1"/>
  <c r="J33" i="1"/>
  <c r="K33" i="1"/>
  <c r="I32" i="1"/>
  <c r="J32" i="1"/>
  <c r="K32" i="1"/>
  <c r="I35" i="1"/>
  <c r="K35" i="1"/>
  <c r="J35" i="1"/>
  <c r="I34" i="1"/>
  <c r="K34" i="1"/>
  <c r="J34" i="1"/>
  <c r="I29" i="1"/>
  <c r="K29" i="1"/>
  <c r="J29" i="1"/>
  <c r="I28" i="1"/>
  <c r="J28" i="1"/>
  <c r="K28" i="1"/>
  <c r="J26" i="1"/>
  <c r="I26" i="1"/>
  <c r="K26" i="1"/>
  <c r="I25" i="1"/>
  <c r="J25" i="1"/>
  <c r="K25" i="1"/>
  <c r="K23" i="1"/>
  <c r="I23" i="1"/>
  <c r="J23" i="1"/>
  <c r="I22" i="1"/>
  <c r="K22" i="1"/>
  <c r="J22" i="1"/>
  <c r="I20" i="1"/>
  <c r="J20" i="1"/>
  <c r="K20" i="1"/>
  <c r="I19" i="1"/>
  <c r="K19" i="1"/>
  <c r="J19" i="1"/>
  <c r="I18" i="1"/>
  <c r="J18" i="1"/>
  <c r="K18" i="1"/>
  <c r="I17" i="1"/>
  <c r="K17" i="1"/>
  <c r="J17" i="1"/>
  <c r="K27" i="1"/>
  <c r="I27" i="1"/>
  <c r="J27" i="1"/>
  <c r="I21" i="1"/>
  <c r="K21" i="1"/>
  <c r="J21" i="1"/>
  <c r="K16" i="1"/>
  <c r="I16" i="1"/>
  <c r="J16" i="1"/>
  <c r="R39" i="1"/>
  <c r="P46" i="1"/>
  <c r="R46" i="1" s="1"/>
  <c r="E24" i="1"/>
  <c r="D55" i="1"/>
  <c r="B51" i="1"/>
  <c r="B52" i="1" s="1"/>
  <c r="B53" i="1" s="1"/>
  <c r="B54" i="1" s="1"/>
  <c r="K50" i="1"/>
  <c r="K51" i="1" s="1"/>
  <c r="K52" i="1" s="1"/>
  <c r="K53" i="1" s="1"/>
  <c r="K54" i="1" s="1"/>
  <c r="K55" i="1" s="1"/>
  <c r="H46" i="1"/>
  <c r="G46" i="1"/>
  <c r="J45" i="1"/>
  <c r="J44" i="1"/>
  <c r="J43" i="1"/>
  <c r="J42" i="1"/>
  <c r="H36" i="1"/>
  <c r="D36" i="1"/>
  <c r="N11" i="1" s="1"/>
  <c r="C36" i="1"/>
  <c r="N10" i="1" s="1"/>
  <c r="P35" i="1"/>
  <c r="P34" i="1"/>
  <c r="P29" i="1"/>
  <c r="P27" i="1"/>
  <c r="P16" i="1"/>
  <c r="N26" i="1" l="1"/>
  <c r="P26" i="1" s="1"/>
  <c r="P25" i="1"/>
  <c r="E36" i="1"/>
  <c r="G24" i="1"/>
  <c r="G36" i="1" s="1"/>
  <c r="J36" i="1" s="1"/>
  <c r="J46" i="1"/>
  <c r="I24" i="1" l="1"/>
  <c r="I36" i="1" s="1"/>
  <c r="K24" i="1"/>
  <c r="K36" i="1" s="1"/>
  <c r="J24" i="1"/>
  <c r="O55" i="1" l="1"/>
</calcChain>
</file>

<file path=xl/sharedStrings.xml><?xml version="1.0" encoding="utf-8"?>
<sst xmlns="http://schemas.openxmlformats.org/spreadsheetml/2006/main" count="183" uniqueCount="177">
  <si>
    <t>EMBER GROUP  |  Development Project Status Report</t>
  </si>
  <si>
    <t>PROJECT INFORMATION</t>
  </si>
  <si>
    <t>KEY PROJECT MEMBERS</t>
  </si>
  <si>
    <t>PROJECT DATA / METRICS</t>
  </si>
  <si>
    <t>Project Name</t>
  </si>
  <si>
    <t>Shops at Grand Prairie</t>
  </si>
  <si>
    <t>Ember Lead</t>
  </si>
  <si>
    <t>Total Land Area (sf)</t>
  </si>
  <si>
    <t>Report Date</t>
  </si>
  <si>
    <t>Project Type</t>
  </si>
  <si>
    <t>Commercial / Retail</t>
  </si>
  <si>
    <t>Report Period</t>
  </si>
  <si>
    <t>Address</t>
  </si>
  <si>
    <t>General Contractor</t>
  </si>
  <si>
    <t>Rentable SF (NRSF)</t>
  </si>
  <si>
    <t>Overall Status</t>
  </si>
  <si>
    <t>City / State</t>
  </si>
  <si>
    <t>Architect</t>
  </si>
  <si>
    <t>MUD District</t>
  </si>
  <si>
    <t>Civil Engineer</t>
  </si>
  <si>
    <t>Efficiency (NRSF/Land)</t>
  </si>
  <si>
    <t>Cost / NRSF</t>
  </si>
  <si>
    <t>PROJECT BUDGET</t>
  </si>
  <si>
    <t>PROJECT SCHEDULE</t>
  </si>
  <si>
    <t>Line Item</t>
  </si>
  <si>
    <t>Original Budget</t>
  </si>
  <si>
    <t>Reallocations</t>
  </si>
  <si>
    <t>Adjusted Budget</t>
  </si>
  <si>
    <t>Spent to Date</t>
  </si>
  <si>
    <t>Balance to Finish</t>
  </si>
  <si>
    <t>% Complete</t>
  </si>
  <si>
    <t>Milestone</t>
  </si>
  <si>
    <t>Target Date</t>
  </si>
  <si>
    <t>Variance (Days)</t>
  </si>
  <si>
    <t>Status</t>
  </si>
  <si>
    <t>Notes</t>
  </si>
  <si>
    <t>Land Acquisition</t>
  </si>
  <si>
    <t>Hard Costs / GMP</t>
  </si>
  <si>
    <t>Permit &amp; Impact Fees</t>
  </si>
  <si>
    <t>Contingency</t>
  </si>
  <si>
    <t>Development Fee</t>
  </si>
  <si>
    <t>TOTAL PROJECT BUDGET</t>
  </si>
  <si>
    <t>CONTINGENCY &amp; RISK TRACKER</t>
  </si>
  <si>
    <t>GMP BUYOUT ANALYSIS</t>
  </si>
  <si>
    <t>Risk Category</t>
  </si>
  <si>
    <t>Potential Issue</t>
  </si>
  <si>
    <t>Impact Description</t>
  </si>
  <si>
    <t>Hard Cost ($)</t>
  </si>
  <si>
    <t>Soft Cost ($)</t>
  </si>
  <si>
    <t>Probability</t>
  </si>
  <si>
    <t>Weighted Exposure</t>
  </si>
  <si>
    <t>Description</t>
  </si>
  <si>
    <t>Original GMP</t>
  </si>
  <si>
    <t>Change Orders</t>
  </si>
  <si>
    <t>Adjusted GMP</t>
  </si>
  <si>
    <t>Committed</t>
  </si>
  <si>
    <t>% Bought Out</t>
  </si>
  <si>
    <t>Beginning Contingency</t>
  </si>
  <si>
    <t>Sitework / Civil</t>
  </si>
  <si>
    <t>Permitting</t>
  </si>
  <si>
    <t>Concrete / Foundations</t>
  </si>
  <si>
    <t>Financial / Market</t>
  </si>
  <si>
    <t>Structural Steel / Framing</t>
  </si>
  <si>
    <t>Environmental / Geotech</t>
  </si>
  <si>
    <t>Roofing &amp; Waterproofing</t>
  </si>
  <si>
    <t>Labor / Material Escalation</t>
  </si>
  <si>
    <t>MEP (Mech / Elec / Plumbing)</t>
  </si>
  <si>
    <t>Design Changes</t>
  </si>
  <si>
    <t>Finishes / Interiors</t>
  </si>
  <si>
    <t>Projected Contingency Balance</t>
  </si>
  <si>
    <t>General Conditions &amp; Fee</t>
  </si>
  <si>
    <t>TOTAL GMP</t>
  </si>
  <si>
    <t>CHANGE ORDER LOG</t>
  </si>
  <si>
    <t>TENANT / LEASE-UP TRACKER</t>
  </si>
  <si>
    <t>CO #</t>
  </si>
  <si>
    <t>Amount</t>
  </si>
  <si>
    <t>Source of Funds</t>
  </si>
  <si>
    <t>Submitted</t>
  </si>
  <si>
    <t>Approved?</t>
  </si>
  <si>
    <t>Date Approved</t>
  </si>
  <si>
    <t>Running Total</t>
  </si>
  <si>
    <t>Tenant / Pad</t>
  </si>
  <si>
    <t>Suite / Pad #</t>
  </si>
  <si>
    <t>Rentable SF</t>
  </si>
  <si>
    <t>Lease Status</t>
  </si>
  <si>
    <t>Est. Rent (NNN)</t>
  </si>
  <si>
    <t>Target Open</t>
  </si>
  <si>
    <t>TOTAL CHANGE ORDERS</t>
  </si>
  <si>
    <t>TOTAL LEASED</t>
  </si>
  <si>
    <t>UPCOMING MILESTONES &amp; ACTION ITEMS</t>
  </si>
  <si>
    <t>ISSUES &amp; CONCERNS</t>
  </si>
  <si>
    <t>#</t>
  </si>
  <si>
    <t>Owner</t>
  </si>
  <si>
    <t>Priority</t>
  </si>
  <si>
    <t>Issue Description</t>
  </si>
  <si>
    <t>Impact</t>
  </si>
  <si>
    <t>Action Plan</t>
  </si>
  <si>
    <t>Target Resolution</t>
  </si>
  <si>
    <t>CONSTRUCTION PHOTOS / SITE PROGRESS</t>
  </si>
  <si>
    <t>[ Insert Photo 1 ]</t>
  </si>
  <si>
    <t>[ Insert Photo 2 ]</t>
  </si>
  <si>
    <t>Ember Group  |  Confidential  |  For Internal Use Only</t>
  </si>
  <si>
    <t>HPI</t>
  </si>
  <si>
    <t>Natalia Duay</t>
  </si>
  <si>
    <t>Developer / Lead</t>
  </si>
  <si>
    <t>HPI / Steven Tyson</t>
  </si>
  <si>
    <t>LJA</t>
  </si>
  <si>
    <t>Betka &amp; Kickapoo Rd</t>
  </si>
  <si>
    <t>Hockley, TX</t>
  </si>
  <si>
    <t>Pad Sites (acres)</t>
  </si>
  <si>
    <t>April 2026</t>
  </si>
  <si>
    <t>Pre-Dev</t>
  </si>
  <si>
    <t xml:space="preserve">Land Area </t>
  </si>
  <si>
    <t>Retail Center</t>
  </si>
  <si>
    <t>Pad Sites</t>
  </si>
  <si>
    <t>Leasing Commissions</t>
  </si>
  <si>
    <t>Land Purchase Commissions</t>
  </si>
  <si>
    <t>Acquistion Fee (Ember)</t>
  </si>
  <si>
    <t>Architectural &amp; Engineering</t>
  </si>
  <si>
    <t>Title / Closing Costs</t>
  </si>
  <si>
    <t>Site Work</t>
  </si>
  <si>
    <t>TI Allowance</t>
  </si>
  <si>
    <t>Signage</t>
  </si>
  <si>
    <t xml:space="preserve">Legal </t>
  </si>
  <si>
    <t>Due Diligence Reports</t>
  </si>
  <si>
    <t>Total Budget</t>
  </si>
  <si>
    <t>Interest Reserve</t>
  </si>
  <si>
    <t>Marketing</t>
  </si>
  <si>
    <t>Operating Reserves</t>
  </si>
  <si>
    <t>Lender Fees &amp; Closing Costs</t>
  </si>
  <si>
    <t>Property Taxes</t>
  </si>
  <si>
    <t>Remaining Balance</t>
  </si>
  <si>
    <t>Execute JV Agreement</t>
  </si>
  <si>
    <t>Redlines pending</t>
  </si>
  <si>
    <t>Cost / Acre (Pad Sites)</t>
  </si>
  <si>
    <t>Project Structure</t>
  </si>
  <si>
    <t>JV Agreement between HPI &amp; Ember, as co-GPs</t>
  </si>
  <si>
    <t>N/A</t>
  </si>
  <si>
    <t xml:space="preserve">Target   </t>
  </si>
  <si>
    <t>Date</t>
  </si>
  <si>
    <t>Actual</t>
  </si>
  <si>
    <t xml:space="preserve">Kick-off Civil Engineering </t>
  </si>
  <si>
    <t>CenterPoint Easement Approval</t>
  </si>
  <si>
    <t>Preleasing Commitments Met</t>
  </si>
  <si>
    <t>Civil plan approved by City</t>
  </si>
  <si>
    <t xml:space="preserve">Assume 4 months </t>
  </si>
  <si>
    <t>Assume 5 months</t>
  </si>
  <si>
    <t>Permits received</t>
  </si>
  <si>
    <t>Assume 3 months</t>
  </si>
  <si>
    <t/>
  </si>
  <si>
    <t>Land Contribution into JV agmt</t>
  </si>
  <si>
    <t>Construction Loan Closing</t>
  </si>
  <si>
    <t>30 days post agmt</t>
  </si>
  <si>
    <t>Civil Plan Submittal to City for Review</t>
  </si>
  <si>
    <t>NTP - Commence site work</t>
  </si>
  <si>
    <t>6 mos for review</t>
  </si>
  <si>
    <t>Construction Completion</t>
  </si>
  <si>
    <t>Assume 12 months</t>
  </si>
  <si>
    <t>Marketing Pkg goes Live @ ICSC</t>
  </si>
  <si>
    <t>Leasing &amp; Marketing</t>
  </si>
  <si>
    <t>C-store &amp; Pad Site Commitments/PSA</t>
  </si>
  <si>
    <t xml:space="preserve">Assume 90 days </t>
  </si>
  <si>
    <t>Pre-leasing met for Lender</t>
  </si>
  <si>
    <t>Assume 120 days</t>
  </si>
  <si>
    <t>Item Descr.</t>
  </si>
  <si>
    <t>Details</t>
  </si>
  <si>
    <t>LP IRR calcs</t>
  </si>
  <si>
    <t>Yes</t>
  </si>
  <si>
    <t>Pending Internal Discussion with Partners</t>
  </si>
  <si>
    <t>Adj waterfall / deal structure with earlier land contri.</t>
  </si>
  <si>
    <t>Company Agmts</t>
  </si>
  <si>
    <t>Execute Proj Entity &amp; GP Agmt</t>
  </si>
  <si>
    <t>Waiting on land contribution decision before sending comments back</t>
  </si>
  <si>
    <t>Timing of Land contribution</t>
  </si>
  <si>
    <t>LP IRR; Agmts getting finalized</t>
  </si>
  <si>
    <t>Waiting on approval from partners</t>
  </si>
  <si>
    <t>Natalia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</si>
</sst>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&quot; sf&quot;"/>
    <numFmt numFmtId="165" formatCode="mm/dd/yyyy"/>
    <numFmt numFmtId="166" formatCode="0.0%"/>
    <numFmt numFmtId="167" formatCode="\$#,##0_);[Red]&quot;($&quot;#,##0\)"/>
    <numFmt numFmtId="168" formatCode="\$#,##0.00&quot;/sf&quot;"/>
    <numFmt numFmtId="169" formatCode="#,##0.00&quot; acres&quot;"/>
    <numFmt numFmtId="170" formatCode="#,##0.000&quot; acres&quot;"/>
  </numFmts>
  <fonts count="19" x14ac:knownFonts="1">
    <font>
      <sz val="11"/>
      <color theme="1"/>
      <name val="Calibri"/>
      <family val="2"/>
      <charset val="1"/>
    </font>
    <font>
      <b/>
      <sz val="14"/>
      <color rgb="FFFFFFFF"/>
      <name val="Aptos"/>
      <family val="2"/>
    </font>
    <font>
      <sz val="11"/>
      <color theme="1"/>
      <name val="Aptos"/>
      <family val="2"/>
    </font>
    <font>
      <b/>
      <sz val="11"/>
      <color rgb="FFFFFFFF"/>
      <name val="Aptos"/>
      <family val="2"/>
    </font>
    <font>
      <b/>
      <sz val="10"/>
      <color rgb="FF1B2A4A"/>
      <name val="Aptos"/>
      <family val="2"/>
    </font>
    <font>
      <sz val="10"/>
      <name val="Aptos"/>
      <family val="2"/>
    </font>
    <font>
      <sz val="11"/>
      <name val="Aptos"/>
      <family val="2"/>
    </font>
    <font>
      <sz val="10"/>
      <color rgb="FF0000FF"/>
      <name val="Aptos"/>
      <family val="2"/>
    </font>
    <font>
      <sz val="10"/>
      <color rgb="FF444444"/>
      <name val="Aptos"/>
      <family val="2"/>
    </font>
    <font>
      <b/>
      <sz val="9"/>
      <color rgb="FFFFFFFF"/>
      <name val="Aptos"/>
      <family val="2"/>
    </font>
    <font>
      <i/>
      <sz val="12"/>
      <color rgb="FF999999"/>
      <name val="Aptos"/>
      <family val="2"/>
    </font>
    <font>
      <i/>
      <sz val="8"/>
      <color rgb="FF999999"/>
      <name val="Aptos"/>
      <family val="2"/>
    </font>
    <font>
      <sz val="10"/>
      <color rgb="FF1B2A4A"/>
      <name val="Aptos"/>
      <family val="2"/>
    </font>
    <font>
      <b/>
      <sz val="11"/>
      <color rgb="FF1B2A4A"/>
      <name val="Aptos"/>
      <family val="2"/>
    </font>
    <font>
      <sz val="11"/>
      <color rgb="FF0000FF"/>
      <name val="Aptos"/>
      <family val="2"/>
    </font>
    <font>
      <sz val="11"/>
      <color rgb="FF444444"/>
      <name val="Aptos"/>
      <family val="2"/>
    </font>
    <font>
      <b/>
      <sz val="10"/>
      <color rgb="FF444444"/>
      <name val="Aptos"/>
      <family val="2"/>
    </font>
    <font>
      <b/>
      <sz val="10"/>
      <color rgb="FF0000FF"/>
      <name val="Aptos"/>
      <family val="2"/>
    </font>
    <font>
      <b/>
      <sz val="11"/>
      <color theme="1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E87722"/>
        <bgColor rgb="FFFF9900"/>
      </patternFill>
    </fill>
    <fill>
      <patternFill patternType="solid">
        <fgColor rgb="FFFFFFF0"/>
        <bgColor rgb="FFFFFFFF"/>
      </patternFill>
    </fill>
    <fill>
      <patternFill patternType="solid">
        <fgColor rgb="FFF5F5F5"/>
        <bgColor rgb="FFFFF3E0"/>
      </patternFill>
    </fill>
    <fill>
      <patternFill patternType="solid">
        <fgColor rgb="FFFFF3E0"/>
        <bgColor rgb="FFF5F5F5"/>
      </patternFill>
    </fill>
    <fill>
      <patternFill patternType="solid">
        <fgColor rgb="FF1B2A4A"/>
      </patternFill>
    </fill>
    <fill>
      <patternFill patternType="solid">
        <fgColor rgb="FF2C3E6B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medium">
        <color rgb="FF1B2A4A"/>
      </top>
      <bottom style="medium">
        <color rgb="FF1B2A4A"/>
      </bottom>
      <diagonal/>
    </border>
    <border>
      <left/>
      <right/>
      <top style="thin">
        <color rgb="FFE0E0E0"/>
      </top>
      <bottom/>
      <diagonal/>
    </border>
    <border>
      <left/>
      <right/>
      <top/>
      <bottom style="thin">
        <color rgb="FFE0E0E0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0" borderId="0" xfId="0" applyFont="1"/>
    <xf numFmtId="0" fontId="2" fillId="2" borderId="0" xfId="0" applyFont="1" applyFill="1"/>
    <xf numFmtId="0" fontId="4" fillId="0" borderId="1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9" fillId="7" borderId="1" xfId="0" applyFont="1" applyFill="1" applyBorder="1" applyAlignment="1">
      <alignment horizontal="center" vertical="center" wrapText="1"/>
    </xf>
    <xf numFmtId="167" fontId="7" fillId="3" borderId="1" xfId="0" applyNumberFormat="1" applyFont="1" applyFill="1" applyBorder="1" applyAlignment="1">
      <alignment horizontal="right" vertical="center"/>
    </xf>
    <xf numFmtId="167" fontId="8" fillId="0" borderId="1" xfId="0" applyNumberFormat="1" applyFont="1" applyBorder="1" applyAlignment="1">
      <alignment horizontal="right" vertical="center"/>
    </xf>
    <xf numFmtId="166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vertical="center"/>
    </xf>
    <xf numFmtId="165" fontId="7" fillId="3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4" borderId="1" xfId="0" applyFont="1" applyFill="1" applyBorder="1" applyAlignment="1">
      <alignment vertical="center"/>
    </xf>
    <xf numFmtId="167" fontId="8" fillId="4" borderId="1" xfId="0" applyNumberFormat="1" applyFont="1" applyFill="1" applyBorder="1" applyAlignment="1">
      <alignment horizontal="right" vertical="center"/>
    </xf>
    <xf numFmtId="166" fontId="8" fillId="4" borderId="1" xfId="0" applyNumberFormat="1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vertical="center"/>
    </xf>
    <xf numFmtId="167" fontId="4" fillId="5" borderId="5" xfId="0" applyNumberFormat="1" applyFont="1" applyFill="1" applyBorder="1" applyAlignment="1">
      <alignment vertical="center"/>
    </xf>
    <xf numFmtId="166" fontId="4" fillId="5" borderId="5" xfId="0" applyNumberFormat="1" applyFont="1" applyFill="1" applyBorder="1" applyAlignment="1">
      <alignment vertical="center"/>
    </xf>
    <xf numFmtId="0" fontId="4" fillId="5" borderId="1" xfId="0" applyFont="1" applyFill="1" applyBorder="1"/>
    <xf numFmtId="0" fontId="2" fillId="5" borderId="1" xfId="0" applyFont="1" applyFill="1" applyBorder="1"/>
    <xf numFmtId="0" fontId="8" fillId="0" borderId="1" xfId="0" applyFont="1" applyBorder="1"/>
    <xf numFmtId="167" fontId="7" fillId="3" borderId="1" xfId="0" applyNumberFormat="1" applyFont="1" applyFill="1" applyBorder="1" applyAlignment="1">
      <alignment vertical="center"/>
    </xf>
    <xf numFmtId="167" fontId="8" fillId="0" borderId="1" xfId="0" applyNumberFormat="1" applyFont="1" applyBorder="1"/>
    <xf numFmtId="166" fontId="8" fillId="0" borderId="1" xfId="0" applyNumberFormat="1" applyFont="1" applyBorder="1"/>
    <xf numFmtId="0" fontId="7" fillId="3" borderId="1" xfId="0" applyFont="1" applyFill="1" applyBorder="1" applyAlignment="1">
      <alignment vertical="center" wrapText="1"/>
    </xf>
    <xf numFmtId="167" fontId="7" fillId="3" borderId="1" xfId="0" applyNumberFormat="1" applyFont="1" applyFill="1" applyBorder="1" applyAlignment="1">
      <alignment vertical="center" wrapText="1"/>
    </xf>
    <xf numFmtId="166" fontId="7" fillId="3" borderId="1" xfId="0" applyNumberFormat="1" applyFont="1" applyFill="1" applyBorder="1" applyAlignment="1">
      <alignment vertical="center" wrapText="1"/>
    </xf>
    <xf numFmtId="167" fontId="8" fillId="0" borderId="1" xfId="0" applyNumberFormat="1" applyFont="1" applyBorder="1" applyAlignment="1">
      <alignment vertical="center" wrapText="1"/>
    </xf>
    <xf numFmtId="0" fontId="8" fillId="4" borderId="1" xfId="0" applyFont="1" applyFill="1" applyBorder="1"/>
    <xf numFmtId="167" fontId="8" fillId="4" borderId="1" xfId="0" applyNumberFormat="1" applyFont="1" applyFill="1" applyBorder="1"/>
    <xf numFmtId="166" fontId="8" fillId="4" borderId="1" xfId="0" applyNumberFormat="1" applyFont="1" applyFill="1" applyBorder="1"/>
    <xf numFmtId="167" fontId="8" fillId="4" borderId="1" xfId="0" applyNumberFormat="1" applyFont="1" applyFill="1" applyBorder="1" applyAlignment="1">
      <alignment vertical="center" wrapText="1"/>
    </xf>
    <xf numFmtId="165" fontId="7" fillId="3" borderId="1" xfId="0" applyNumberFormat="1" applyFont="1" applyFill="1" applyBorder="1" applyAlignment="1">
      <alignment vertical="center" wrapText="1"/>
    </xf>
    <xf numFmtId="164" fontId="7" fillId="3" borderId="1" xfId="0" applyNumberFormat="1" applyFont="1" applyFill="1" applyBorder="1" applyAlignment="1">
      <alignment vertical="center" wrapText="1"/>
    </xf>
    <xf numFmtId="168" fontId="7" fillId="3" borderId="1" xfId="0" applyNumberFormat="1" applyFont="1" applyFill="1" applyBorder="1" applyAlignment="1">
      <alignment vertical="center" wrapText="1"/>
    </xf>
    <xf numFmtId="164" fontId="4" fillId="5" borderId="5" xfId="0" applyNumberFormat="1" applyFont="1" applyFill="1" applyBorder="1" applyAlignment="1">
      <alignment vertical="center"/>
    </xf>
    <xf numFmtId="0" fontId="2" fillId="6" borderId="0" xfId="0" applyFont="1" applyFill="1"/>
    <xf numFmtId="0" fontId="12" fillId="0" borderId="1" xfId="0" applyFont="1" applyBorder="1" applyAlignment="1">
      <alignment vertical="center"/>
    </xf>
    <xf numFmtId="167" fontId="5" fillId="3" borderId="1" xfId="0" applyNumberFormat="1" applyFont="1" applyFill="1" applyBorder="1" applyAlignment="1">
      <alignment horizontal="right" vertical="center"/>
    </xf>
    <xf numFmtId="0" fontId="12" fillId="8" borderId="1" xfId="0" applyFont="1" applyFill="1" applyBorder="1" applyAlignment="1">
      <alignment vertical="center"/>
    </xf>
    <xf numFmtId="167" fontId="8" fillId="8" borderId="1" xfId="0" applyNumberFormat="1" applyFont="1" applyFill="1" applyBorder="1" applyAlignment="1">
      <alignment horizontal="right" vertical="center"/>
    </xf>
    <xf numFmtId="166" fontId="8" fillId="8" borderId="1" xfId="0" applyNumberFormat="1" applyFont="1" applyFill="1" applyBorder="1" applyAlignment="1">
      <alignment horizontal="right" vertical="center"/>
    </xf>
    <xf numFmtId="0" fontId="8" fillId="8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horizontal="center" vertical="center"/>
    </xf>
    <xf numFmtId="0" fontId="6" fillId="0" borderId="0" xfId="0" applyFont="1"/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right" vertical="center"/>
    </xf>
    <xf numFmtId="49" fontId="6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165" fontId="14" fillId="3" borderId="1" xfId="0" applyNumberFormat="1" applyFont="1" applyFill="1" applyBorder="1" applyAlignment="1">
      <alignment horizontal="center"/>
    </xf>
    <xf numFmtId="0" fontId="16" fillId="0" borderId="1" xfId="0" applyFont="1" applyBorder="1" applyAlignment="1">
      <alignment vertical="center"/>
    </xf>
    <xf numFmtId="165" fontId="17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167" fontId="18" fillId="5" borderId="1" xfId="0" applyNumberFormat="1" applyFont="1" applyFill="1" applyBorder="1"/>
    <xf numFmtId="165" fontId="7" fillId="3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2" fillId="0" borderId="0" xfId="0" applyFont="1"/>
    <xf numFmtId="167" fontId="6" fillId="3" borderId="2" xfId="0" applyNumberFormat="1" applyFont="1" applyFill="1" applyBorder="1"/>
    <xf numFmtId="0" fontId="6" fillId="0" borderId="3" xfId="0" applyFont="1" applyBorder="1"/>
    <xf numFmtId="0" fontId="6" fillId="3" borderId="2" xfId="0" applyFont="1" applyFill="1" applyBorder="1"/>
    <xf numFmtId="0" fontId="3" fillId="6" borderId="1" xfId="0" applyFont="1" applyFill="1" applyBorder="1" applyAlignment="1">
      <alignment horizontal="left" vertical="center"/>
    </xf>
    <xf numFmtId="0" fontId="2" fillId="0" borderId="3" xfId="0" applyFont="1" applyBorder="1"/>
    <xf numFmtId="0" fontId="2" fillId="0" borderId="4" xfId="0" applyFont="1" applyBorder="1"/>
    <xf numFmtId="0" fontId="9" fillId="7" borderId="2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166" fontId="15" fillId="3" borderId="2" xfId="0" applyNumberFormat="1" applyFont="1" applyFill="1" applyBorder="1"/>
    <xf numFmtId="0" fontId="6" fillId="3" borderId="2" xfId="0" applyFont="1" applyFill="1" applyBorder="1" applyAlignment="1">
      <alignment vertical="center"/>
    </xf>
    <xf numFmtId="164" fontId="6" fillId="3" borderId="2" xfId="0" applyNumberFormat="1" applyFont="1" applyFill="1" applyBorder="1"/>
    <xf numFmtId="169" fontId="6" fillId="3" borderId="2" xfId="0" applyNumberFormat="1" applyFont="1" applyFill="1" applyBorder="1"/>
    <xf numFmtId="169" fontId="6" fillId="0" borderId="3" xfId="0" applyNumberFormat="1" applyFont="1" applyBorder="1"/>
    <xf numFmtId="170" fontId="6" fillId="3" borderId="2" xfId="0" applyNumberFormat="1" applyFont="1" applyFill="1" applyBorder="1" applyAlignment="1">
      <alignment horizontal="right"/>
    </xf>
    <xf numFmtId="170" fontId="6" fillId="3" borderId="3" xfId="0" applyNumberFormat="1" applyFont="1" applyFill="1" applyBorder="1" applyAlignment="1">
      <alignment horizontal="right"/>
    </xf>
    <xf numFmtId="0" fontId="5" fillId="3" borderId="2" xfId="0" applyFont="1" applyFill="1" applyBorder="1" applyAlignment="1">
      <alignment vertical="center"/>
    </xf>
    <xf numFmtId="0" fontId="9" fillId="7" borderId="2" xfId="0" applyFont="1" applyFill="1" applyBorder="1" applyAlignment="1">
      <alignment horizontal="left" vertical="center" wrapText="1"/>
    </xf>
    <xf numFmtId="0" fontId="9" fillId="7" borderId="3" xfId="0" applyFont="1" applyFill="1" applyBorder="1" applyAlignment="1">
      <alignment horizontal="left" vertical="center" wrapText="1"/>
    </xf>
    <xf numFmtId="0" fontId="9" fillId="7" borderId="4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0"/>
      <rgbColor rgb="FFF5F5F5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F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7722"/>
      <rgbColor rgb="FF555555"/>
      <rgbColor rgb="FF999999"/>
      <rgbColor rgb="FF003366"/>
      <rgbColor rgb="FF339966"/>
      <rgbColor rgb="FF003300"/>
      <rgbColor rgb="FF444444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9"/>
  <sheetViews>
    <sheetView tabSelected="1" topLeftCell="D1" zoomScale="90" zoomScaleNormal="90" workbookViewId="0">
      <pane ySplit="2" topLeftCell="A8" activePane="bottomLeft" state="frozen"/>
      <selection pane="bottomLeft" activeCell="O16" sqref="O16:O31"/>
    </sheetView>
  </sheetViews>
  <sheetFormatPr defaultColWidth="8.7109375" defaultRowHeight="15" x14ac:dyDescent="0.25"/>
  <cols>
    <col min="1" max="1" width="3" style="1" customWidth="1"/>
    <col min="2" max="2" width="28.85546875" style="1" customWidth="1"/>
    <col min="3" max="3" width="17.42578125" style="1" customWidth="1"/>
    <col min="4" max="6" width="16" style="1" customWidth="1"/>
    <col min="7" max="7" width="14" style="1" customWidth="1"/>
    <col min="8" max="8" width="16" style="1" customWidth="1"/>
    <col min="9" max="9" width="19.28515625" style="1" customWidth="1"/>
    <col min="10" max="11" width="16" style="1" customWidth="1"/>
    <col min="12" max="12" width="3" style="1" customWidth="1"/>
    <col min="13" max="13" width="33.85546875" style="1" customWidth="1"/>
    <col min="14" max="17" width="16" style="1" customWidth="1"/>
    <col min="18" max="18" width="16.7109375" style="1" customWidth="1"/>
    <col min="19" max="16384" width="8.7109375" style="1"/>
  </cols>
  <sheetData>
    <row r="1" spans="1:18" ht="36" customHeight="1" x14ac:dyDescent="0.25">
      <c r="A1" s="75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</row>
    <row r="2" spans="1:18" ht="3.7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6" customHeight="1" x14ac:dyDescent="0.25"/>
    <row r="4" spans="1:18" ht="15" customHeight="1" x14ac:dyDescent="0.25">
      <c r="B4" s="67" t="s">
        <v>1</v>
      </c>
      <c r="C4" s="68"/>
      <c r="D4" s="68"/>
      <c r="E4" s="68"/>
      <c r="F4" s="68"/>
      <c r="G4" s="69"/>
      <c r="I4" s="67" t="s">
        <v>2</v>
      </c>
      <c r="J4" s="68"/>
      <c r="K4" s="69"/>
      <c r="M4" s="67" t="s">
        <v>3</v>
      </c>
      <c r="N4" s="68"/>
      <c r="O4" s="68"/>
      <c r="P4" s="68"/>
      <c r="Q4" s="68"/>
      <c r="R4" s="69"/>
    </row>
    <row r="5" spans="1:18" ht="21.75" customHeight="1" x14ac:dyDescent="0.25">
      <c r="B5" s="49" t="s">
        <v>4</v>
      </c>
      <c r="C5" s="77" t="s">
        <v>5</v>
      </c>
      <c r="D5" s="65"/>
      <c r="E5" s="65"/>
      <c r="F5" s="65"/>
      <c r="G5" s="65"/>
      <c r="I5" s="49" t="s">
        <v>6</v>
      </c>
      <c r="J5" s="66" t="s">
        <v>103</v>
      </c>
      <c r="K5" s="65"/>
      <c r="M5" s="49" t="s">
        <v>7</v>
      </c>
      <c r="N5" s="78">
        <f>N6*43560</f>
        <v>215839.80000000002</v>
      </c>
      <c r="O5" s="65"/>
      <c r="Q5" s="50" t="s">
        <v>8</v>
      </c>
      <c r="R5" s="53">
        <v>46134</v>
      </c>
    </row>
    <row r="6" spans="1:18" ht="21.75" customHeight="1" x14ac:dyDescent="0.25">
      <c r="B6" s="49" t="s">
        <v>9</v>
      </c>
      <c r="C6" s="77" t="s">
        <v>10</v>
      </c>
      <c r="D6" s="65"/>
      <c r="E6" s="65"/>
      <c r="F6" s="65"/>
      <c r="G6" s="65"/>
      <c r="I6" s="49" t="s">
        <v>104</v>
      </c>
      <c r="J6" s="66" t="s">
        <v>105</v>
      </c>
      <c r="K6" s="65"/>
      <c r="M6" s="49" t="s">
        <v>112</v>
      </c>
      <c r="N6" s="81">
        <v>4.9550000000000001</v>
      </c>
      <c r="O6" s="82"/>
      <c r="P6" s="4"/>
      <c r="Q6" s="50" t="s">
        <v>11</v>
      </c>
      <c r="R6" s="51" t="s">
        <v>110</v>
      </c>
    </row>
    <row r="7" spans="1:18" ht="21.75" customHeight="1" x14ac:dyDescent="0.25">
      <c r="B7" s="49" t="s">
        <v>12</v>
      </c>
      <c r="C7" s="77" t="s">
        <v>107</v>
      </c>
      <c r="D7" s="65"/>
      <c r="E7" s="65"/>
      <c r="F7" s="65"/>
      <c r="G7" s="65"/>
      <c r="I7" s="49" t="s">
        <v>13</v>
      </c>
      <c r="J7" s="66" t="s">
        <v>102</v>
      </c>
      <c r="K7" s="65"/>
      <c r="M7" s="49" t="s">
        <v>14</v>
      </c>
      <c r="N7" s="78">
        <v>21000</v>
      </c>
      <c r="O7" s="65"/>
      <c r="Q7" s="50" t="s">
        <v>15</v>
      </c>
      <c r="R7" s="52" t="s">
        <v>111</v>
      </c>
    </row>
    <row r="8" spans="1:18" ht="21.75" customHeight="1" x14ac:dyDescent="0.25">
      <c r="B8" s="49" t="s">
        <v>16</v>
      </c>
      <c r="C8" s="77" t="s">
        <v>108</v>
      </c>
      <c r="D8" s="65"/>
      <c r="E8" s="65"/>
      <c r="F8" s="65"/>
      <c r="G8" s="65"/>
      <c r="I8" s="49" t="s">
        <v>17</v>
      </c>
      <c r="J8" s="66"/>
      <c r="K8" s="65"/>
      <c r="M8" s="49" t="s">
        <v>109</v>
      </c>
      <c r="N8" s="79">
        <v>2.6</v>
      </c>
      <c r="O8" s="80"/>
    </row>
    <row r="9" spans="1:18" ht="21.75" customHeight="1" x14ac:dyDescent="0.25">
      <c r="B9" s="49" t="s">
        <v>18</v>
      </c>
      <c r="C9" s="72"/>
      <c r="D9" s="68"/>
      <c r="E9" s="68"/>
      <c r="F9" s="68"/>
      <c r="G9" s="68"/>
      <c r="I9" s="49" t="s">
        <v>19</v>
      </c>
      <c r="J9" s="66" t="s">
        <v>106</v>
      </c>
      <c r="K9" s="65"/>
      <c r="M9" s="49" t="s">
        <v>20</v>
      </c>
      <c r="N9" s="76">
        <f>N7/(N5-(N8*43560))</f>
        <v>0.20471068531288564</v>
      </c>
      <c r="O9" s="68"/>
    </row>
    <row r="10" spans="1:18" ht="21.75" customHeight="1" x14ac:dyDescent="0.25">
      <c r="B10" s="3" t="s">
        <v>135</v>
      </c>
      <c r="C10" s="83" t="s">
        <v>136</v>
      </c>
      <c r="D10" s="65"/>
      <c r="E10" s="65"/>
      <c r="F10" s="65"/>
      <c r="G10" s="65"/>
      <c r="M10" s="49" t="s">
        <v>21</v>
      </c>
      <c r="N10" s="64">
        <f>C36/N7</f>
        <v>376.00826666666666</v>
      </c>
      <c r="O10" s="65"/>
    </row>
    <row r="11" spans="1:18" ht="21.75" customHeight="1" x14ac:dyDescent="0.25">
      <c r="M11" s="49" t="s">
        <v>134</v>
      </c>
      <c r="N11" s="64">
        <f>D36/N8</f>
        <v>795679.23076923087</v>
      </c>
      <c r="O11" s="65"/>
    </row>
    <row r="12" spans="1:18" ht="6" customHeight="1" x14ac:dyDescent="0.25">
      <c r="N12" s="48"/>
      <c r="O12" s="48"/>
    </row>
    <row r="13" spans="1:18" ht="15" customHeight="1" x14ac:dyDescent="0.25">
      <c r="B13" s="67" t="s">
        <v>22</v>
      </c>
      <c r="C13" s="68"/>
      <c r="D13" s="68"/>
      <c r="E13" s="68"/>
      <c r="F13" s="68"/>
      <c r="G13" s="68"/>
      <c r="H13" s="68"/>
      <c r="I13" s="68"/>
      <c r="J13" s="68"/>
      <c r="K13" s="69"/>
      <c r="M13" s="67" t="s">
        <v>23</v>
      </c>
      <c r="N13" s="68"/>
      <c r="O13" s="68"/>
      <c r="P13" s="68"/>
      <c r="Q13" s="68"/>
      <c r="R13" s="69"/>
    </row>
    <row r="14" spans="1:18" ht="27.75" customHeight="1" x14ac:dyDescent="0.25">
      <c r="B14" s="5" t="s">
        <v>24</v>
      </c>
      <c r="C14" s="70" t="s">
        <v>25</v>
      </c>
      <c r="D14" s="71"/>
      <c r="E14" s="5"/>
      <c r="F14" s="5"/>
      <c r="G14" s="5"/>
      <c r="H14" s="5"/>
      <c r="I14" s="5"/>
      <c r="J14" s="5"/>
      <c r="K14" s="5"/>
      <c r="M14" s="5" t="s">
        <v>31</v>
      </c>
      <c r="N14" s="5" t="s">
        <v>138</v>
      </c>
      <c r="O14" s="5" t="s">
        <v>140</v>
      </c>
      <c r="P14" s="5" t="s">
        <v>33</v>
      </c>
      <c r="Q14" s="5" t="s">
        <v>34</v>
      </c>
      <c r="R14" s="5" t="s">
        <v>35</v>
      </c>
    </row>
    <row r="15" spans="1:18" ht="27.75" customHeight="1" x14ac:dyDescent="0.25">
      <c r="B15" s="5"/>
      <c r="C15" s="5" t="s">
        <v>113</v>
      </c>
      <c r="D15" s="5" t="s">
        <v>114</v>
      </c>
      <c r="E15" s="5" t="s">
        <v>125</v>
      </c>
      <c r="F15" s="5" t="s">
        <v>26</v>
      </c>
      <c r="G15" s="5" t="s">
        <v>27</v>
      </c>
      <c r="H15" s="5" t="s">
        <v>28</v>
      </c>
      <c r="I15" s="5" t="s">
        <v>29</v>
      </c>
      <c r="J15" s="5" t="s">
        <v>30</v>
      </c>
      <c r="K15" s="5" t="s">
        <v>131</v>
      </c>
      <c r="M15" s="5"/>
      <c r="N15" s="5" t="s">
        <v>139</v>
      </c>
      <c r="O15" s="5" t="s">
        <v>139</v>
      </c>
      <c r="P15" s="5"/>
      <c r="Q15" s="5"/>
      <c r="R15" s="5"/>
    </row>
    <row r="16" spans="1:18" ht="21.75" customHeight="1" x14ac:dyDescent="0.25">
      <c r="B16" s="41" t="s">
        <v>36</v>
      </c>
      <c r="C16" s="6">
        <f>12*(N6-N8)*43560</f>
        <v>1231005.5999999999</v>
      </c>
      <c r="D16" s="6">
        <f>12*N8*43560</f>
        <v>1359072.0000000002</v>
      </c>
      <c r="E16" s="42">
        <f>SUM(C16:D16)</f>
        <v>2590077.6</v>
      </c>
      <c r="F16" s="42"/>
      <c r="G16" s="7">
        <f>E16+F16</f>
        <v>2590077.6</v>
      </c>
      <c r="H16" s="6"/>
      <c r="I16" s="7">
        <f>G16-H16</f>
        <v>2590077.6</v>
      </c>
      <c r="J16" s="8">
        <f>IF(G16=0,0,H16/G16)</f>
        <v>0</v>
      </c>
      <c r="K16" s="7">
        <f>G16-H16</f>
        <v>2590077.6</v>
      </c>
      <c r="M16" s="9" t="s">
        <v>132</v>
      </c>
      <c r="N16" s="10">
        <v>46173</v>
      </c>
      <c r="O16" s="10"/>
      <c r="P16" s="11" t="str">
        <f t="shared" ref="P16:P35" si="0">IF(OR(N16="",O16=""),"",O16-N16)</f>
        <v/>
      </c>
      <c r="Q16" s="12" t="s">
        <v>133</v>
      </c>
      <c r="R16" s="13"/>
    </row>
    <row r="17" spans="2:18" ht="21.75" customHeight="1" x14ac:dyDescent="0.25">
      <c r="B17" s="14" t="s">
        <v>116</v>
      </c>
      <c r="C17" s="6">
        <v>37009</v>
      </c>
      <c r="D17" s="6">
        <v>40694</v>
      </c>
      <c r="E17" s="42">
        <f t="shared" ref="E17:E35" si="1">SUM(C17:D17)</f>
        <v>77703</v>
      </c>
      <c r="F17" s="42"/>
      <c r="G17" s="44">
        <f t="shared" ref="G17:G35" si="2">E17+F17</f>
        <v>77703</v>
      </c>
      <c r="H17" s="6"/>
      <c r="I17" s="44">
        <f t="shared" ref="I17:I35" si="3">G17-H17</f>
        <v>77703</v>
      </c>
      <c r="J17" s="45">
        <f t="shared" ref="J17:J35" si="4">IF(G17=0,0,H17/G17)</f>
        <v>0</v>
      </c>
      <c r="K17" s="44">
        <f t="shared" ref="K17:K35" si="5">G17-H17</f>
        <v>77703</v>
      </c>
      <c r="M17" s="46" t="s">
        <v>150</v>
      </c>
      <c r="N17" s="10">
        <f>N16+30</f>
        <v>46203</v>
      </c>
      <c r="O17" s="10"/>
      <c r="P17" s="47"/>
      <c r="Q17" s="12"/>
      <c r="R17" s="13" t="s">
        <v>152</v>
      </c>
    </row>
    <row r="18" spans="2:18" ht="21.75" customHeight="1" x14ac:dyDescent="0.25">
      <c r="B18" s="9" t="s">
        <v>37</v>
      </c>
      <c r="C18" s="6">
        <v>3570000</v>
      </c>
      <c r="D18" s="6">
        <v>250000</v>
      </c>
      <c r="E18" s="42">
        <f t="shared" si="1"/>
        <v>3820000</v>
      </c>
      <c r="F18" s="42"/>
      <c r="G18" s="7">
        <f t="shared" si="2"/>
        <v>3820000</v>
      </c>
      <c r="H18" s="6"/>
      <c r="I18" s="7">
        <f t="shared" si="3"/>
        <v>3820000</v>
      </c>
      <c r="J18" s="8">
        <f t="shared" si="4"/>
        <v>0</v>
      </c>
      <c r="K18" s="7">
        <f t="shared" si="5"/>
        <v>3820000</v>
      </c>
      <c r="M18" s="9" t="s">
        <v>141</v>
      </c>
      <c r="N18" s="10">
        <v>46143</v>
      </c>
      <c r="O18" s="10"/>
      <c r="P18" s="11"/>
      <c r="Q18" s="12" t="s">
        <v>137</v>
      </c>
      <c r="R18" s="13"/>
    </row>
    <row r="19" spans="2:18" ht="21.75" customHeight="1" x14ac:dyDescent="0.25">
      <c r="B19" s="14" t="s">
        <v>120</v>
      </c>
      <c r="C19" s="6">
        <v>225000</v>
      </c>
      <c r="D19" s="6">
        <v>0</v>
      </c>
      <c r="E19" s="42">
        <f t="shared" si="1"/>
        <v>225000</v>
      </c>
      <c r="F19" s="42"/>
      <c r="G19" s="44">
        <f t="shared" si="2"/>
        <v>225000</v>
      </c>
      <c r="H19" s="6"/>
      <c r="I19" s="44">
        <f t="shared" si="3"/>
        <v>225000</v>
      </c>
      <c r="J19" s="45">
        <f t="shared" si="4"/>
        <v>0</v>
      </c>
      <c r="K19" s="44">
        <f t="shared" si="5"/>
        <v>225000</v>
      </c>
      <c r="M19" s="46" t="s">
        <v>153</v>
      </c>
      <c r="N19" s="10">
        <v>46233</v>
      </c>
      <c r="O19" s="10"/>
      <c r="P19" s="47" t="s">
        <v>149</v>
      </c>
      <c r="Q19" s="12"/>
      <c r="R19" s="13" t="s">
        <v>148</v>
      </c>
    </row>
    <row r="20" spans="2:18" ht="21.75" customHeight="1" x14ac:dyDescent="0.25">
      <c r="B20" s="9" t="s">
        <v>121</v>
      </c>
      <c r="C20" s="6">
        <v>1050000</v>
      </c>
      <c r="D20" s="6">
        <v>0</v>
      </c>
      <c r="E20" s="42">
        <f t="shared" si="1"/>
        <v>1050000</v>
      </c>
      <c r="F20" s="42"/>
      <c r="G20" s="7">
        <f t="shared" si="2"/>
        <v>1050000</v>
      </c>
      <c r="H20" s="6"/>
      <c r="I20" s="7">
        <f t="shared" si="3"/>
        <v>1050000</v>
      </c>
      <c r="J20" s="8">
        <f t="shared" si="4"/>
        <v>0</v>
      </c>
      <c r="K20" s="7">
        <f t="shared" si="5"/>
        <v>1050000</v>
      </c>
      <c r="M20" s="9" t="s">
        <v>142</v>
      </c>
      <c r="N20" s="10">
        <v>46295</v>
      </c>
      <c r="O20" s="10"/>
      <c r="P20" s="11"/>
      <c r="Q20" s="12"/>
      <c r="R20" s="13" t="s">
        <v>146</v>
      </c>
    </row>
    <row r="21" spans="2:18" ht="21.75" customHeight="1" x14ac:dyDescent="0.25">
      <c r="B21" s="43" t="s">
        <v>115</v>
      </c>
      <c r="C21" s="6">
        <f>399240</f>
        <v>399240</v>
      </c>
      <c r="D21" s="6">
        <v>0</v>
      </c>
      <c r="E21" s="42">
        <f t="shared" si="1"/>
        <v>399240</v>
      </c>
      <c r="F21" s="42"/>
      <c r="G21" s="44">
        <f t="shared" si="2"/>
        <v>399240</v>
      </c>
      <c r="H21" s="6"/>
      <c r="I21" s="44">
        <f t="shared" si="3"/>
        <v>399240</v>
      </c>
      <c r="J21" s="45">
        <f t="shared" si="4"/>
        <v>0</v>
      </c>
      <c r="K21" s="44">
        <f t="shared" si="5"/>
        <v>399240</v>
      </c>
      <c r="M21" s="46" t="s">
        <v>143</v>
      </c>
      <c r="N21" s="10">
        <v>46263</v>
      </c>
      <c r="O21" s="10"/>
      <c r="P21" s="47"/>
      <c r="Q21" s="12"/>
      <c r="R21" s="13" t="s">
        <v>145</v>
      </c>
    </row>
    <row r="22" spans="2:18" ht="21.75" customHeight="1" x14ac:dyDescent="0.25">
      <c r="B22" s="41" t="s">
        <v>117</v>
      </c>
      <c r="C22" s="6">
        <v>51802</v>
      </c>
      <c r="D22" s="6"/>
      <c r="E22" s="42">
        <f t="shared" si="1"/>
        <v>51802</v>
      </c>
      <c r="F22" s="42"/>
      <c r="G22" s="7">
        <f t="shared" si="2"/>
        <v>51802</v>
      </c>
      <c r="H22" s="6"/>
      <c r="I22" s="7">
        <f t="shared" si="3"/>
        <v>51802</v>
      </c>
      <c r="J22" s="8">
        <f t="shared" si="4"/>
        <v>0</v>
      </c>
      <c r="K22" s="7">
        <f t="shared" si="5"/>
        <v>51802</v>
      </c>
      <c r="M22" s="9" t="s">
        <v>144</v>
      </c>
      <c r="N22" s="10">
        <f>N19+180</f>
        <v>46413</v>
      </c>
      <c r="O22" s="10"/>
      <c r="P22" s="11"/>
      <c r="Q22" s="12"/>
      <c r="R22" s="13" t="s">
        <v>155</v>
      </c>
    </row>
    <row r="23" spans="2:18" ht="21.75" customHeight="1" x14ac:dyDescent="0.25">
      <c r="B23" s="46" t="s">
        <v>119</v>
      </c>
      <c r="C23" s="6">
        <v>10000</v>
      </c>
      <c r="D23" s="6">
        <v>15000</v>
      </c>
      <c r="E23" s="42">
        <f t="shared" si="1"/>
        <v>25000</v>
      </c>
      <c r="F23" s="42"/>
      <c r="G23" s="15">
        <f t="shared" si="2"/>
        <v>25000</v>
      </c>
      <c r="H23" s="6"/>
      <c r="I23" s="15">
        <f t="shared" si="3"/>
        <v>25000</v>
      </c>
      <c r="J23" s="16">
        <f t="shared" si="4"/>
        <v>0</v>
      </c>
      <c r="K23" s="15">
        <f t="shared" si="5"/>
        <v>25000</v>
      </c>
      <c r="M23" s="14" t="s">
        <v>147</v>
      </c>
      <c r="N23" s="10">
        <f>N22+6</f>
        <v>46419</v>
      </c>
      <c r="O23" s="10"/>
      <c r="P23" s="17"/>
      <c r="Q23" s="12"/>
      <c r="R23" s="18"/>
    </row>
    <row r="24" spans="2:18" ht="21.75" customHeight="1" x14ac:dyDescent="0.25">
      <c r="B24" s="9" t="s">
        <v>124</v>
      </c>
      <c r="C24" s="6">
        <f>30000</f>
        <v>30000</v>
      </c>
      <c r="D24" s="6">
        <f>15000+15000+15000</f>
        <v>45000</v>
      </c>
      <c r="E24" s="42">
        <f t="shared" si="1"/>
        <v>75000</v>
      </c>
      <c r="F24" s="42"/>
      <c r="G24" s="7">
        <f t="shared" si="2"/>
        <v>75000</v>
      </c>
      <c r="H24" s="6"/>
      <c r="I24" s="7">
        <f t="shared" si="3"/>
        <v>75000</v>
      </c>
      <c r="J24" s="8">
        <f t="shared" si="4"/>
        <v>0</v>
      </c>
      <c r="K24" s="7">
        <f t="shared" si="5"/>
        <v>75000</v>
      </c>
      <c r="M24" s="9" t="s">
        <v>151</v>
      </c>
      <c r="N24" s="10">
        <f>N23+1</f>
        <v>46420</v>
      </c>
      <c r="O24" s="10"/>
      <c r="P24" s="11"/>
      <c r="Q24" s="12"/>
      <c r="R24" s="13"/>
    </row>
    <row r="25" spans="2:18" ht="21.75" customHeight="1" x14ac:dyDescent="0.25">
      <c r="B25" s="14" t="s">
        <v>38</v>
      </c>
      <c r="C25" s="6">
        <v>250000</v>
      </c>
      <c r="D25" s="6">
        <v>35000</v>
      </c>
      <c r="E25" s="42">
        <f t="shared" si="1"/>
        <v>285000</v>
      </c>
      <c r="F25" s="42"/>
      <c r="G25" s="15">
        <f t="shared" si="2"/>
        <v>285000</v>
      </c>
      <c r="H25" s="6"/>
      <c r="I25" s="15">
        <f t="shared" si="3"/>
        <v>285000</v>
      </c>
      <c r="J25" s="16">
        <f t="shared" si="4"/>
        <v>0</v>
      </c>
      <c r="K25" s="15">
        <f t="shared" si="5"/>
        <v>285000</v>
      </c>
      <c r="M25" s="14" t="s">
        <v>154</v>
      </c>
      <c r="N25" s="10">
        <f>N23+10</f>
        <v>46429</v>
      </c>
      <c r="O25" s="10"/>
      <c r="P25" s="17" t="str">
        <f t="shared" si="0"/>
        <v/>
      </c>
      <c r="Q25" s="12"/>
      <c r="R25" s="18"/>
    </row>
    <row r="26" spans="2:18" ht="21.75" customHeight="1" x14ac:dyDescent="0.25">
      <c r="B26" s="9" t="s">
        <v>118</v>
      </c>
      <c r="C26" s="6">
        <v>150000</v>
      </c>
      <c r="D26" s="6">
        <v>60000</v>
      </c>
      <c r="E26" s="42">
        <f t="shared" si="1"/>
        <v>210000</v>
      </c>
      <c r="F26" s="42"/>
      <c r="G26" s="7">
        <f t="shared" si="2"/>
        <v>210000</v>
      </c>
      <c r="H26" s="6"/>
      <c r="I26" s="7">
        <f t="shared" si="3"/>
        <v>210000</v>
      </c>
      <c r="J26" s="8">
        <f t="shared" si="4"/>
        <v>0</v>
      </c>
      <c r="K26" s="7">
        <f t="shared" si="5"/>
        <v>210000</v>
      </c>
      <c r="M26" s="9" t="s">
        <v>156</v>
      </c>
      <c r="N26" s="10">
        <f>N25+360</f>
        <v>46789</v>
      </c>
      <c r="O26" s="10"/>
      <c r="P26" s="11" t="str">
        <f t="shared" si="0"/>
        <v/>
      </c>
      <c r="Q26" s="12"/>
      <c r="R26" s="13" t="s">
        <v>157</v>
      </c>
    </row>
    <row r="27" spans="2:18" ht="21.75" customHeight="1" x14ac:dyDescent="0.25">
      <c r="B27" s="14" t="s">
        <v>123</v>
      </c>
      <c r="C27" s="6">
        <f>35000</f>
        <v>35000</v>
      </c>
      <c r="D27" s="6">
        <v>25000</v>
      </c>
      <c r="E27" s="42">
        <f t="shared" si="1"/>
        <v>60000</v>
      </c>
      <c r="F27" s="42"/>
      <c r="G27" s="15">
        <f t="shared" si="2"/>
        <v>60000</v>
      </c>
      <c r="H27" s="6"/>
      <c r="I27" s="15">
        <f t="shared" si="3"/>
        <v>60000</v>
      </c>
      <c r="J27" s="16">
        <f t="shared" si="4"/>
        <v>0</v>
      </c>
      <c r="K27" s="15">
        <f t="shared" si="5"/>
        <v>60000</v>
      </c>
      <c r="M27" s="14"/>
      <c r="N27" s="10"/>
      <c r="O27" s="10"/>
      <c r="P27" s="17" t="str">
        <f t="shared" si="0"/>
        <v/>
      </c>
      <c r="Q27" s="12"/>
      <c r="R27" s="18"/>
    </row>
    <row r="28" spans="2:18" ht="21.75" customHeight="1" x14ac:dyDescent="0.25">
      <c r="B28" s="9" t="s">
        <v>127</v>
      </c>
      <c r="C28" s="6">
        <v>5000</v>
      </c>
      <c r="D28" s="6"/>
      <c r="E28" s="42">
        <f t="shared" si="1"/>
        <v>5000</v>
      </c>
      <c r="F28" s="42"/>
      <c r="G28" s="7">
        <f t="shared" si="2"/>
        <v>5000</v>
      </c>
      <c r="H28" s="6"/>
      <c r="I28" s="7">
        <f t="shared" si="3"/>
        <v>5000</v>
      </c>
      <c r="J28" s="8">
        <f t="shared" si="4"/>
        <v>0</v>
      </c>
      <c r="K28" s="7">
        <f t="shared" si="5"/>
        <v>5000</v>
      </c>
      <c r="M28" s="54" t="s">
        <v>159</v>
      </c>
      <c r="N28" s="55"/>
      <c r="O28" s="55"/>
      <c r="P28" s="56"/>
      <c r="Q28" s="57"/>
      <c r="R28" s="58"/>
    </row>
    <row r="29" spans="2:18" ht="21.75" customHeight="1" x14ac:dyDescent="0.25">
      <c r="B29" s="46" t="s">
        <v>122</v>
      </c>
      <c r="C29" s="6">
        <v>50000</v>
      </c>
      <c r="D29" s="6">
        <v>25000</v>
      </c>
      <c r="E29" s="42">
        <f t="shared" si="1"/>
        <v>75000</v>
      </c>
      <c r="F29" s="42"/>
      <c r="G29" s="44">
        <f t="shared" si="2"/>
        <v>75000</v>
      </c>
      <c r="H29" s="6"/>
      <c r="I29" s="44">
        <f t="shared" si="3"/>
        <v>75000</v>
      </c>
      <c r="J29" s="45">
        <f t="shared" si="4"/>
        <v>0</v>
      </c>
      <c r="K29" s="44">
        <f t="shared" si="5"/>
        <v>75000</v>
      </c>
      <c r="M29" s="46" t="s">
        <v>158</v>
      </c>
      <c r="N29" s="10">
        <v>46160</v>
      </c>
      <c r="O29" s="10"/>
      <c r="P29" s="47" t="str">
        <f t="shared" si="0"/>
        <v/>
      </c>
      <c r="Q29" s="12"/>
      <c r="R29" s="13"/>
    </row>
    <row r="30" spans="2:18" ht="21.75" customHeight="1" x14ac:dyDescent="0.25">
      <c r="B30" s="9" t="s">
        <v>130</v>
      </c>
      <c r="C30" s="6">
        <v>50000</v>
      </c>
      <c r="D30" s="6">
        <v>50000</v>
      </c>
      <c r="E30" s="42">
        <f t="shared" si="1"/>
        <v>100000</v>
      </c>
      <c r="F30" s="42"/>
      <c r="G30" s="7">
        <f t="shared" si="2"/>
        <v>100000</v>
      </c>
      <c r="H30" s="6"/>
      <c r="I30" s="7">
        <f t="shared" si="3"/>
        <v>100000</v>
      </c>
      <c r="J30" s="8">
        <f t="shared" si="4"/>
        <v>0</v>
      </c>
      <c r="K30" s="7">
        <f t="shared" si="5"/>
        <v>100000</v>
      </c>
      <c r="M30" s="9" t="s">
        <v>160</v>
      </c>
      <c r="N30" s="10">
        <f>N29+90</f>
        <v>46250</v>
      </c>
      <c r="O30" s="10"/>
      <c r="P30" s="11"/>
      <c r="Q30" s="12"/>
      <c r="R30" s="13" t="s">
        <v>161</v>
      </c>
    </row>
    <row r="31" spans="2:18" ht="21.75" customHeight="1" x14ac:dyDescent="0.25">
      <c r="B31" s="46" t="s">
        <v>129</v>
      </c>
      <c r="C31" s="6">
        <v>73749</v>
      </c>
      <c r="D31" s="6"/>
      <c r="E31" s="42">
        <f t="shared" si="1"/>
        <v>73749</v>
      </c>
      <c r="F31" s="42"/>
      <c r="G31" s="44">
        <f t="shared" si="2"/>
        <v>73749</v>
      </c>
      <c r="H31" s="6"/>
      <c r="I31" s="44">
        <f t="shared" si="3"/>
        <v>73749</v>
      </c>
      <c r="J31" s="8">
        <f t="shared" si="4"/>
        <v>0</v>
      </c>
      <c r="K31" s="44">
        <f t="shared" si="5"/>
        <v>73749</v>
      </c>
      <c r="M31" s="46" t="s">
        <v>162</v>
      </c>
      <c r="N31" s="10">
        <f>N29+120</f>
        <v>46280</v>
      </c>
      <c r="O31" s="10"/>
      <c r="P31" s="47"/>
      <c r="Q31" s="12"/>
      <c r="R31" s="13" t="s">
        <v>163</v>
      </c>
    </row>
    <row r="32" spans="2:18" ht="21.75" customHeight="1" x14ac:dyDescent="0.25">
      <c r="B32" s="9" t="s">
        <v>126</v>
      </c>
      <c r="C32" s="6">
        <v>286648</v>
      </c>
      <c r="D32" s="6"/>
      <c r="E32" s="42">
        <f t="shared" si="1"/>
        <v>286648</v>
      </c>
      <c r="F32" s="42"/>
      <c r="G32" s="7">
        <f t="shared" si="2"/>
        <v>286648</v>
      </c>
      <c r="H32" s="6"/>
      <c r="I32" s="7">
        <f t="shared" si="3"/>
        <v>286648</v>
      </c>
      <c r="J32" s="8">
        <f t="shared" si="4"/>
        <v>0</v>
      </c>
      <c r="K32" s="7">
        <f t="shared" si="5"/>
        <v>286648</v>
      </c>
      <c r="M32" s="9"/>
      <c r="N32" s="10"/>
      <c r="O32" s="10"/>
      <c r="P32" s="11"/>
      <c r="Q32" s="12"/>
      <c r="R32" s="13"/>
    </row>
    <row r="33" spans="2:18" ht="21.75" customHeight="1" x14ac:dyDescent="0.25">
      <c r="B33" s="46" t="s">
        <v>128</v>
      </c>
      <c r="C33" s="6">
        <v>116720</v>
      </c>
      <c r="D33" s="6"/>
      <c r="E33" s="42">
        <f t="shared" si="1"/>
        <v>116720</v>
      </c>
      <c r="F33" s="42"/>
      <c r="G33" s="44">
        <f t="shared" si="2"/>
        <v>116720</v>
      </c>
      <c r="H33" s="6"/>
      <c r="I33" s="44">
        <f t="shared" si="3"/>
        <v>116720</v>
      </c>
      <c r="J33" s="45">
        <f t="shared" si="4"/>
        <v>0</v>
      </c>
      <c r="K33" s="44">
        <f t="shared" si="5"/>
        <v>116720</v>
      </c>
      <c r="M33" s="46"/>
      <c r="N33" s="10"/>
      <c r="O33" s="10"/>
      <c r="P33" s="47"/>
      <c r="Q33" s="12"/>
      <c r="R33" s="13"/>
    </row>
    <row r="34" spans="2:18" ht="21.75" customHeight="1" x14ac:dyDescent="0.25">
      <c r="B34" s="9" t="s">
        <v>39</v>
      </c>
      <c r="C34" s="6">
        <v>125000</v>
      </c>
      <c r="D34" s="6">
        <v>100000</v>
      </c>
      <c r="E34" s="42">
        <f t="shared" si="1"/>
        <v>225000</v>
      </c>
      <c r="F34" s="42"/>
      <c r="G34" s="7">
        <f t="shared" si="2"/>
        <v>225000</v>
      </c>
      <c r="H34" s="6"/>
      <c r="I34" s="7">
        <f t="shared" si="3"/>
        <v>225000</v>
      </c>
      <c r="J34" s="8">
        <f t="shared" si="4"/>
        <v>0</v>
      </c>
      <c r="K34" s="7">
        <f t="shared" si="5"/>
        <v>225000</v>
      </c>
      <c r="M34" s="9"/>
      <c r="N34" s="10"/>
      <c r="O34" s="10"/>
      <c r="P34" s="11" t="str">
        <f t="shared" si="0"/>
        <v/>
      </c>
      <c r="Q34" s="12"/>
      <c r="R34" s="18"/>
    </row>
    <row r="35" spans="2:18" ht="21.75" customHeight="1" thickBot="1" x14ac:dyDescent="0.3">
      <c r="B35" s="46" t="s">
        <v>40</v>
      </c>
      <c r="C35" s="6">
        <v>150000</v>
      </c>
      <c r="D35" s="6">
        <v>64000</v>
      </c>
      <c r="E35" s="42">
        <f t="shared" si="1"/>
        <v>214000</v>
      </c>
      <c r="F35" s="42"/>
      <c r="G35" s="44">
        <f t="shared" si="2"/>
        <v>214000</v>
      </c>
      <c r="H35" s="6"/>
      <c r="I35" s="44">
        <f t="shared" si="3"/>
        <v>214000</v>
      </c>
      <c r="J35" s="45">
        <f t="shared" si="4"/>
        <v>0</v>
      </c>
      <c r="K35" s="44">
        <f t="shared" si="5"/>
        <v>214000</v>
      </c>
      <c r="M35" s="46"/>
      <c r="N35" s="10"/>
      <c r="O35" s="10"/>
      <c r="P35" s="47" t="str">
        <f t="shared" si="0"/>
        <v/>
      </c>
      <c r="Q35" s="12"/>
      <c r="R35" s="13"/>
    </row>
    <row r="36" spans="2:18" ht="24" customHeight="1" thickBot="1" x14ac:dyDescent="0.3">
      <c r="B36" s="19" t="s">
        <v>41</v>
      </c>
      <c r="C36" s="20">
        <f t="shared" ref="C36:I36" si="6">SUM(C16:C35)</f>
        <v>7896173.5999999996</v>
      </c>
      <c r="D36" s="20">
        <f t="shared" si="6"/>
        <v>2068766.0000000002</v>
      </c>
      <c r="E36" s="20">
        <f t="shared" si="6"/>
        <v>9964939.5999999996</v>
      </c>
      <c r="F36" s="20">
        <f t="shared" si="6"/>
        <v>0</v>
      </c>
      <c r="G36" s="20">
        <f t="shared" si="6"/>
        <v>9964939.5999999996</v>
      </c>
      <c r="H36" s="20">
        <f t="shared" si="6"/>
        <v>0</v>
      </c>
      <c r="I36" s="20">
        <f t="shared" si="6"/>
        <v>9964939.5999999996</v>
      </c>
      <c r="J36" s="21">
        <f>IF(G36=0,0,H36/G36)</f>
        <v>0</v>
      </c>
      <c r="K36" s="20">
        <f>SUM(K16:K35)</f>
        <v>9964939.5999999996</v>
      </c>
      <c r="M36" s="96" t="s">
        <v>43</v>
      </c>
      <c r="N36" s="96"/>
      <c r="O36" s="96"/>
      <c r="P36" s="96"/>
      <c r="Q36" s="96"/>
      <c r="R36" s="96"/>
    </row>
    <row r="37" spans="2:18" ht="6" customHeight="1" x14ac:dyDescent="0.25">
      <c r="M37" s="97"/>
      <c r="N37" s="97"/>
      <c r="O37" s="97"/>
      <c r="P37" s="97"/>
      <c r="Q37" s="97"/>
      <c r="R37" s="97"/>
    </row>
    <row r="38" spans="2:18" ht="15" customHeight="1" x14ac:dyDescent="0.25">
      <c r="B38" s="67" t="s">
        <v>42</v>
      </c>
      <c r="C38" s="68"/>
      <c r="D38" s="68"/>
      <c r="E38" s="68"/>
      <c r="F38" s="68"/>
      <c r="G38" s="68"/>
      <c r="H38" s="68"/>
      <c r="I38" s="68"/>
      <c r="J38" s="68"/>
      <c r="K38" s="69"/>
      <c r="M38" s="5" t="s">
        <v>51</v>
      </c>
      <c r="N38" s="5" t="s">
        <v>52</v>
      </c>
      <c r="O38" s="5" t="s">
        <v>53</v>
      </c>
      <c r="P38" s="5" t="s">
        <v>54</v>
      </c>
      <c r="Q38" s="5" t="s">
        <v>55</v>
      </c>
      <c r="R38" s="5" t="s">
        <v>56</v>
      </c>
    </row>
    <row r="39" spans="2:18" ht="27.75" customHeight="1" x14ac:dyDescent="0.25">
      <c r="B39" s="5" t="s">
        <v>44</v>
      </c>
      <c r="C39" s="5" t="s">
        <v>45</v>
      </c>
      <c r="D39" s="84" t="s">
        <v>46</v>
      </c>
      <c r="E39" s="85"/>
      <c r="F39" s="86"/>
      <c r="G39" s="5" t="s">
        <v>47</v>
      </c>
      <c r="H39" s="5" t="s">
        <v>48</v>
      </c>
      <c r="I39" s="5" t="s">
        <v>49</v>
      </c>
      <c r="J39" s="5" t="s">
        <v>50</v>
      </c>
      <c r="K39" s="5" t="s">
        <v>34</v>
      </c>
      <c r="M39" s="24" t="s">
        <v>58</v>
      </c>
      <c r="N39" s="25"/>
      <c r="O39" s="25"/>
      <c r="P39" s="26">
        <f t="shared" ref="P39:P45" si="7">N39+O39</f>
        <v>0</v>
      </c>
      <c r="Q39" s="25"/>
      <c r="R39" s="27">
        <f t="shared" ref="R39:R46" si="8">IF(P39=0,0,Q39/P39)</f>
        <v>0</v>
      </c>
    </row>
    <row r="40" spans="2:18" ht="21.75" customHeight="1" x14ac:dyDescent="0.25">
      <c r="B40" s="22" t="s">
        <v>57</v>
      </c>
      <c r="C40" s="23"/>
      <c r="D40" s="87"/>
      <c r="E40" s="88"/>
      <c r="F40" s="89"/>
      <c r="G40" s="60">
        <f>C34+D34</f>
        <v>225000</v>
      </c>
      <c r="H40" s="23"/>
      <c r="I40" s="23"/>
      <c r="J40" s="23"/>
      <c r="K40" s="23"/>
      <c r="M40" s="32" t="s">
        <v>60</v>
      </c>
      <c r="N40" s="25"/>
      <c r="O40" s="25"/>
      <c r="P40" s="33">
        <f t="shared" si="7"/>
        <v>0</v>
      </c>
      <c r="Q40" s="25"/>
      <c r="R40" s="34">
        <f t="shared" si="8"/>
        <v>0</v>
      </c>
    </row>
    <row r="41" spans="2:18" ht="21.75" customHeight="1" x14ac:dyDescent="0.25">
      <c r="B41" s="13" t="s">
        <v>59</v>
      </c>
      <c r="C41" s="28"/>
      <c r="D41" s="93"/>
      <c r="E41" s="94"/>
      <c r="F41" s="95"/>
      <c r="G41" s="29"/>
      <c r="H41" s="29"/>
      <c r="I41" s="30"/>
      <c r="J41" s="31">
        <f>IF(I41="",-1*(G41+H41),-(G41+H41)*I41)</f>
        <v>0</v>
      </c>
      <c r="K41" s="28"/>
      <c r="M41" s="24" t="s">
        <v>62</v>
      </c>
      <c r="N41" s="25"/>
      <c r="O41" s="25"/>
      <c r="P41" s="26">
        <f t="shared" si="7"/>
        <v>0</v>
      </c>
      <c r="Q41" s="25"/>
      <c r="R41" s="27">
        <f t="shared" si="8"/>
        <v>0</v>
      </c>
    </row>
    <row r="42" spans="2:18" ht="21.75" customHeight="1" x14ac:dyDescent="0.25">
      <c r="B42" s="18" t="s">
        <v>61</v>
      </c>
      <c r="C42" s="28"/>
      <c r="D42" s="90"/>
      <c r="E42" s="91"/>
      <c r="F42" s="92"/>
      <c r="G42" s="29"/>
      <c r="H42" s="29"/>
      <c r="I42" s="30"/>
      <c r="J42" s="35">
        <f>IF(I42="",-1*(G42+H42),-(G42+H42)*I42)</f>
        <v>0</v>
      </c>
      <c r="K42" s="28"/>
      <c r="M42" s="32" t="s">
        <v>64</v>
      </c>
      <c r="N42" s="25"/>
      <c r="O42" s="25"/>
      <c r="P42" s="33">
        <f t="shared" si="7"/>
        <v>0</v>
      </c>
      <c r="Q42" s="25"/>
      <c r="R42" s="34">
        <f t="shared" si="8"/>
        <v>0</v>
      </c>
    </row>
    <row r="43" spans="2:18" ht="21.75" customHeight="1" x14ac:dyDescent="0.25">
      <c r="B43" s="13" t="s">
        <v>63</v>
      </c>
      <c r="C43" s="28"/>
      <c r="D43" s="90"/>
      <c r="E43" s="91"/>
      <c r="F43" s="92"/>
      <c r="G43" s="29"/>
      <c r="H43" s="29"/>
      <c r="I43" s="30"/>
      <c r="J43" s="31">
        <f>IF(I43="",-1*(G43+H43),-(G43+H43)*I43)</f>
        <v>0</v>
      </c>
      <c r="K43" s="28"/>
      <c r="M43" s="24" t="s">
        <v>66</v>
      </c>
      <c r="N43" s="25"/>
      <c r="O43" s="25"/>
      <c r="P43" s="26">
        <f t="shared" si="7"/>
        <v>0</v>
      </c>
      <c r="Q43" s="25"/>
      <c r="R43" s="27">
        <f t="shared" si="8"/>
        <v>0</v>
      </c>
    </row>
    <row r="44" spans="2:18" ht="21.75" customHeight="1" x14ac:dyDescent="0.25">
      <c r="B44" s="18" t="s">
        <v>65</v>
      </c>
      <c r="C44" s="28"/>
      <c r="D44" s="90"/>
      <c r="E44" s="91"/>
      <c r="F44" s="92"/>
      <c r="G44" s="29"/>
      <c r="H44" s="29"/>
      <c r="I44" s="30"/>
      <c r="J44" s="35">
        <f>IF(I44="",-1*(G44+H44),-(G44+H44)*I44)</f>
        <v>0</v>
      </c>
      <c r="K44" s="28"/>
      <c r="M44" s="32" t="s">
        <v>68</v>
      </c>
      <c r="N44" s="25"/>
      <c r="O44" s="25"/>
      <c r="P44" s="33">
        <f t="shared" si="7"/>
        <v>0</v>
      </c>
      <c r="Q44" s="25"/>
      <c r="R44" s="34">
        <f t="shared" si="8"/>
        <v>0</v>
      </c>
    </row>
    <row r="45" spans="2:18" ht="21.75" customHeight="1" thickBot="1" x14ac:dyDescent="0.3">
      <c r="B45" s="13" t="s">
        <v>67</v>
      </c>
      <c r="C45" s="28"/>
      <c r="D45" s="90"/>
      <c r="E45" s="91"/>
      <c r="F45" s="92"/>
      <c r="G45" s="29"/>
      <c r="H45" s="29"/>
      <c r="I45" s="30"/>
      <c r="J45" s="31">
        <f>IF(I45="",-1*(G45+H45),-(G45+H45)*I45)</f>
        <v>0</v>
      </c>
      <c r="K45" s="28"/>
      <c r="M45" s="24" t="s">
        <v>70</v>
      </c>
      <c r="N45" s="25"/>
      <c r="O45" s="25"/>
      <c r="P45" s="26">
        <f t="shared" si="7"/>
        <v>0</v>
      </c>
      <c r="Q45" s="25"/>
      <c r="R45" s="27">
        <f t="shared" si="8"/>
        <v>0</v>
      </c>
    </row>
    <row r="46" spans="2:18" ht="24" customHeight="1" thickBot="1" x14ac:dyDescent="0.3">
      <c r="B46" s="19" t="s">
        <v>69</v>
      </c>
      <c r="C46" s="19"/>
      <c r="D46" s="19"/>
      <c r="E46" s="19"/>
      <c r="F46" s="19"/>
      <c r="G46" s="20">
        <f>G40+SUM(G41:G45)</f>
        <v>225000</v>
      </c>
      <c r="H46" s="20">
        <f>H40+SUM(H41:H45)</f>
        <v>0</v>
      </c>
      <c r="I46" s="19"/>
      <c r="J46" s="20">
        <f>SUM(J41:J45)</f>
        <v>0</v>
      </c>
      <c r="K46" s="19"/>
      <c r="M46" s="19" t="s">
        <v>71</v>
      </c>
      <c r="N46" s="20">
        <f>SUM(N39:N45)</f>
        <v>0</v>
      </c>
      <c r="O46" s="20">
        <f>SUM(O39:O45)</f>
        <v>0</v>
      </c>
      <c r="P46" s="20">
        <f>SUM(P39:P45)</f>
        <v>0</v>
      </c>
      <c r="Q46" s="20">
        <f>SUM(Q39:Q45)</f>
        <v>0</v>
      </c>
      <c r="R46" s="21">
        <f t="shared" si="8"/>
        <v>0</v>
      </c>
    </row>
    <row r="47" spans="2:18" ht="6" customHeight="1" x14ac:dyDescent="0.25"/>
    <row r="48" spans="2:18" ht="15" customHeight="1" x14ac:dyDescent="0.25">
      <c r="B48" s="67" t="s">
        <v>72</v>
      </c>
      <c r="C48" s="68"/>
      <c r="D48" s="68"/>
      <c r="E48" s="68"/>
      <c r="F48" s="68"/>
      <c r="G48" s="68"/>
      <c r="H48" s="68"/>
      <c r="I48" s="68"/>
      <c r="J48" s="68"/>
      <c r="K48" s="69"/>
      <c r="M48" s="67" t="s">
        <v>73</v>
      </c>
      <c r="N48" s="68"/>
      <c r="O48" s="68"/>
      <c r="P48" s="68"/>
      <c r="Q48" s="68"/>
      <c r="R48" s="69"/>
    </row>
    <row r="49" spans="2:18" ht="27.75" customHeight="1" x14ac:dyDescent="0.25">
      <c r="B49" s="5" t="s">
        <v>74</v>
      </c>
      <c r="C49" s="5" t="s">
        <v>51</v>
      </c>
      <c r="D49" s="5" t="s">
        <v>75</v>
      </c>
      <c r="E49" s="5"/>
      <c r="F49" s="5"/>
      <c r="G49" s="5" t="s">
        <v>76</v>
      </c>
      <c r="H49" s="5" t="s">
        <v>77</v>
      </c>
      <c r="I49" s="5" t="s">
        <v>78</v>
      </c>
      <c r="J49" s="5" t="s">
        <v>79</v>
      </c>
      <c r="K49" s="5" t="s">
        <v>80</v>
      </c>
      <c r="M49" s="5" t="s">
        <v>81</v>
      </c>
      <c r="N49" s="5" t="s">
        <v>82</v>
      </c>
      <c r="O49" s="5" t="s">
        <v>83</v>
      </c>
      <c r="P49" s="5" t="s">
        <v>84</v>
      </c>
      <c r="Q49" s="5" t="s">
        <v>85</v>
      </c>
      <c r="R49" s="5" t="s">
        <v>86</v>
      </c>
    </row>
    <row r="50" spans="2:18" ht="21.75" customHeight="1" x14ac:dyDescent="0.25">
      <c r="B50" s="11">
        <v>1</v>
      </c>
      <c r="C50" s="28"/>
      <c r="D50" s="29"/>
      <c r="E50" s="29"/>
      <c r="F50" s="29"/>
      <c r="G50" s="28"/>
      <c r="H50" s="36"/>
      <c r="I50" s="28"/>
      <c r="J50" s="36"/>
      <c r="K50" s="31">
        <f>IF(I50="Y",D50,0)</f>
        <v>0</v>
      </c>
      <c r="M50" s="28"/>
      <c r="N50" s="28"/>
      <c r="O50" s="37"/>
      <c r="P50" s="28"/>
      <c r="Q50" s="38"/>
      <c r="R50" s="36"/>
    </row>
    <row r="51" spans="2:18" ht="21.75" customHeight="1" x14ac:dyDescent="0.25">
      <c r="B51" s="17">
        <f>B50+1</f>
        <v>2</v>
      </c>
      <c r="C51" s="28"/>
      <c r="D51" s="29"/>
      <c r="E51" s="29"/>
      <c r="F51" s="29"/>
      <c r="G51" s="28"/>
      <c r="H51" s="36"/>
      <c r="I51" s="28"/>
      <c r="J51" s="36"/>
      <c r="K51" s="35">
        <f>K50+IF(I51="Y",D51,0)</f>
        <v>0</v>
      </c>
      <c r="M51" s="28"/>
      <c r="N51" s="28"/>
      <c r="O51" s="37"/>
      <c r="P51" s="28"/>
      <c r="Q51" s="38"/>
      <c r="R51" s="36"/>
    </row>
    <row r="52" spans="2:18" ht="21.75" customHeight="1" x14ac:dyDescent="0.25">
      <c r="B52" s="11">
        <f>B51+1</f>
        <v>3</v>
      </c>
      <c r="C52" s="28"/>
      <c r="D52" s="29"/>
      <c r="E52" s="29"/>
      <c r="F52" s="29"/>
      <c r="G52" s="28"/>
      <c r="H52" s="36"/>
      <c r="I52" s="28"/>
      <c r="J52" s="36"/>
      <c r="K52" s="31">
        <f>K51+IF(I52="Y",D52,0)</f>
        <v>0</v>
      </c>
      <c r="M52" s="28"/>
      <c r="N52" s="28"/>
      <c r="O52" s="37"/>
      <c r="P52" s="28"/>
      <c r="Q52" s="38"/>
      <c r="R52" s="36"/>
    </row>
    <row r="53" spans="2:18" ht="21.75" customHeight="1" x14ac:dyDescent="0.25">
      <c r="B53" s="17">
        <f>B52+1</f>
        <v>4</v>
      </c>
      <c r="C53" s="28"/>
      <c r="D53" s="29"/>
      <c r="E53" s="29"/>
      <c r="F53" s="29"/>
      <c r="G53" s="28"/>
      <c r="H53" s="36"/>
      <c r="I53" s="28"/>
      <c r="J53" s="36"/>
      <c r="K53" s="35">
        <f>K52+IF(I53="Y",D53,0)</f>
        <v>0</v>
      </c>
      <c r="M53" s="28"/>
      <c r="N53" s="28"/>
      <c r="O53" s="37"/>
      <c r="P53" s="28"/>
      <c r="Q53" s="38"/>
      <c r="R53" s="36"/>
    </row>
    <row r="54" spans="2:18" ht="21.75" customHeight="1" thickBot="1" x14ac:dyDescent="0.3">
      <c r="B54" s="11">
        <f>B53+1</f>
        <v>5</v>
      </c>
      <c r="C54" s="28"/>
      <c r="D54" s="29"/>
      <c r="E54" s="29"/>
      <c r="F54" s="29"/>
      <c r="G54" s="28"/>
      <c r="H54" s="36"/>
      <c r="I54" s="28"/>
      <c r="J54" s="36"/>
      <c r="K54" s="31">
        <f>K53+IF(I54="Y",D54,0)</f>
        <v>0</v>
      </c>
      <c r="M54" s="28"/>
      <c r="N54" s="28"/>
      <c r="O54" s="37"/>
      <c r="P54" s="28"/>
      <c r="Q54" s="38"/>
      <c r="R54" s="36"/>
    </row>
    <row r="55" spans="2:18" ht="24" customHeight="1" thickBot="1" x14ac:dyDescent="0.3">
      <c r="B55" s="19" t="s">
        <v>87</v>
      </c>
      <c r="C55" s="19"/>
      <c r="D55" s="20">
        <f>SUM(D50:D54)</f>
        <v>0</v>
      </c>
      <c r="E55" s="20"/>
      <c r="F55" s="20"/>
      <c r="G55" s="19"/>
      <c r="H55" s="19"/>
      <c r="I55" s="19"/>
      <c r="J55" s="19"/>
      <c r="K55" s="20">
        <f>K54</f>
        <v>0</v>
      </c>
      <c r="M55" s="19" t="s">
        <v>88</v>
      </c>
      <c r="N55" s="19"/>
      <c r="O55" s="39">
        <f ca="1">SUM(O50:O55)</f>
        <v>0</v>
      </c>
      <c r="P55" s="19"/>
      <c r="Q55" s="19"/>
      <c r="R55" s="19"/>
    </row>
    <row r="56" spans="2:18" ht="6" customHeight="1" x14ac:dyDescent="0.25"/>
    <row r="57" spans="2:18" ht="15" customHeight="1" x14ac:dyDescent="0.25">
      <c r="B57" s="67" t="s">
        <v>89</v>
      </c>
      <c r="C57" s="68"/>
      <c r="D57" s="68"/>
      <c r="E57" s="68"/>
      <c r="F57" s="68"/>
      <c r="G57" s="68"/>
      <c r="H57" s="68"/>
      <c r="I57" s="68"/>
      <c r="J57" s="68"/>
      <c r="K57" s="69"/>
      <c r="M57" s="67" t="s">
        <v>90</v>
      </c>
      <c r="N57" s="68"/>
      <c r="O57" s="68"/>
      <c r="P57" s="68"/>
      <c r="Q57" s="68"/>
      <c r="R57" s="69"/>
    </row>
    <row r="58" spans="2:18" ht="27.75" customHeight="1" x14ac:dyDescent="0.25">
      <c r="B58" s="5" t="s">
        <v>91</v>
      </c>
      <c r="C58" s="5" t="s">
        <v>164</v>
      </c>
      <c r="D58" s="84" t="s">
        <v>165</v>
      </c>
      <c r="E58" s="85"/>
      <c r="F58" s="86"/>
      <c r="G58" s="5" t="s">
        <v>32</v>
      </c>
      <c r="H58" s="5" t="s">
        <v>93</v>
      </c>
      <c r="I58" s="84" t="s">
        <v>34</v>
      </c>
      <c r="J58" s="85"/>
      <c r="K58" s="86"/>
      <c r="M58" s="5" t="s">
        <v>91</v>
      </c>
      <c r="N58" s="5" t="s">
        <v>94</v>
      </c>
      <c r="O58" s="5" t="s">
        <v>95</v>
      </c>
      <c r="P58" s="5" t="s">
        <v>96</v>
      </c>
      <c r="Q58" s="5" t="s">
        <v>92</v>
      </c>
      <c r="R58" s="5" t="s">
        <v>97</v>
      </c>
    </row>
    <row r="59" spans="2:18" ht="35.1" customHeight="1" x14ac:dyDescent="0.25">
      <c r="B59" s="11">
        <v>1</v>
      </c>
      <c r="C59" s="59" t="s">
        <v>166</v>
      </c>
      <c r="D59" s="98" t="s">
        <v>169</v>
      </c>
      <c r="E59" s="99"/>
      <c r="F59" s="100"/>
      <c r="G59" s="61">
        <v>46138</v>
      </c>
      <c r="H59" s="59" t="s">
        <v>167</v>
      </c>
      <c r="I59" s="98" t="s">
        <v>168</v>
      </c>
      <c r="J59" s="99"/>
      <c r="K59" s="100"/>
      <c r="M59" s="11">
        <v>1</v>
      </c>
      <c r="N59" s="28" t="s">
        <v>173</v>
      </c>
      <c r="O59" s="28" t="s">
        <v>174</v>
      </c>
      <c r="P59" s="28" t="s">
        <v>175</v>
      </c>
      <c r="Q59" s="59" t="s">
        <v>176</v>
      </c>
      <c r="R59" s="36">
        <v>46138</v>
      </c>
    </row>
    <row r="60" spans="2:18" ht="35.1" customHeight="1" x14ac:dyDescent="0.25">
      <c r="B60" s="17">
        <v>2</v>
      </c>
      <c r="C60" s="59" t="s">
        <v>170</v>
      </c>
      <c r="D60" s="98" t="s">
        <v>171</v>
      </c>
      <c r="E60" s="99"/>
      <c r="F60" s="100"/>
      <c r="G60" s="61">
        <v>46157</v>
      </c>
      <c r="H60" s="59" t="s">
        <v>167</v>
      </c>
      <c r="I60" s="98" t="s">
        <v>172</v>
      </c>
      <c r="J60" s="99"/>
      <c r="K60" s="100"/>
      <c r="M60" s="17">
        <v>2</v>
      </c>
      <c r="N60" s="28"/>
      <c r="O60" s="28"/>
      <c r="P60" s="28"/>
      <c r="Q60" s="28"/>
      <c r="R60" s="36"/>
    </row>
    <row r="61" spans="2:18" ht="35.1" customHeight="1" x14ac:dyDescent="0.25">
      <c r="B61" s="11">
        <v>3</v>
      </c>
      <c r="C61" s="59"/>
      <c r="D61" s="98"/>
      <c r="E61" s="99"/>
      <c r="F61" s="100"/>
      <c r="G61" s="61"/>
      <c r="H61" s="59"/>
      <c r="I61" s="90"/>
      <c r="J61" s="91"/>
      <c r="K61" s="92"/>
      <c r="M61" s="11">
        <v>3</v>
      </c>
      <c r="N61" s="28"/>
      <c r="O61" s="28"/>
      <c r="P61" s="28"/>
      <c r="Q61" s="28"/>
      <c r="R61" s="36"/>
    </row>
    <row r="62" spans="2:18" ht="35.1" customHeight="1" x14ac:dyDescent="0.25">
      <c r="B62" s="17">
        <v>4</v>
      </c>
      <c r="C62" s="59"/>
      <c r="D62" s="98"/>
      <c r="E62" s="99"/>
      <c r="F62" s="100"/>
      <c r="G62" s="61"/>
      <c r="H62" s="59"/>
      <c r="I62" s="90"/>
      <c r="J62" s="91"/>
      <c r="K62" s="92"/>
      <c r="M62" s="17">
        <v>4</v>
      </c>
      <c r="N62" s="28"/>
      <c r="O62" s="28"/>
      <c r="P62" s="28"/>
      <c r="Q62" s="28"/>
      <c r="R62" s="36"/>
    </row>
    <row r="63" spans="2:18" ht="35.1" customHeight="1" x14ac:dyDescent="0.25">
      <c r="B63" s="11">
        <v>5</v>
      </c>
      <c r="C63" s="59"/>
      <c r="D63" s="98"/>
      <c r="E63" s="99"/>
      <c r="F63" s="100"/>
      <c r="G63" s="61"/>
      <c r="H63" s="59"/>
      <c r="I63" s="90"/>
      <c r="J63" s="91"/>
      <c r="K63" s="92"/>
      <c r="M63" s="11">
        <v>5</v>
      </c>
      <c r="N63" s="28"/>
      <c r="O63" s="28"/>
      <c r="P63" s="28"/>
      <c r="Q63" s="28"/>
      <c r="R63" s="36"/>
    </row>
    <row r="64" spans="2:18" ht="6" customHeight="1" x14ac:dyDescent="0.25"/>
    <row r="65" spans="1:18" ht="15" customHeight="1" x14ac:dyDescent="0.25">
      <c r="B65" s="74" t="s">
        <v>98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9"/>
    </row>
    <row r="66" spans="1:18" ht="79.5" customHeight="1" x14ac:dyDescent="0.25">
      <c r="B66" s="73" t="s">
        <v>99</v>
      </c>
      <c r="C66" s="68"/>
      <c r="D66" s="68"/>
      <c r="E66" s="68"/>
      <c r="F66" s="68"/>
      <c r="G66" s="68"/>
      <c r="H66" s="68"/>
      <c r="I66" s="68"/>
      <c r="J66" s="68"/>
      <c r="M66" s="73" t="s">
        <v>100</v>
      </c>
      <c r="N66" s="68"/>
      <c r="O66" s="68"/>
      <c r="P66" s="68"/>
      <c r="Q66" s="68"/>
      <c r="R66" s="68"/>
    </row>
    <row r="68" spans="1:18" ht="3.75" customHeight="1" x14ac:dyDescent="0.25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</row>
    <row r="69" spans="1:18" ht="18" customHeight="1" x14ac:dyDescent="0.25">
      <c r="B69" s="62" t="s">
        <v>101</v>
      </c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</row>
  </sheetData>
  <mergeCells count="59">
    <mergeCell ref="D60:F60"/>
    <mergeCell ref="D61:F61"/>
    <mergeCell ref="D62:F62"/>
    <mergeCell ref="D63:F63"/>
    <mergeCell ref="I58:K58"/>
    <mergeCell ref="I59:K59"/>
    <mergeCell ref="I60:K60"/>
    <mergeCell ref="I61:K61"/>
    <mergeCell ref="I62:K62"/>
    <mergeCell ref="I63:K63"/>
    <mergeCell ref="R36:R37"/>
    <mergeCell ref="D58:F58"/>
    <mergeCell ref="D59:F59"/>
    <mergeCell ref="B48:K48"/>
    <mergeCell ref="D43:F43"/>
    <mergeCell ref="D44:F44"/>
    <mergeCell ref="D45:F45"/>
    <mergeCell ref="M36:M37"/>
    <mergeCell ref="N36:N37"/>
    <mergeCell ref="O36:O37"/>
    <mergeCell ref="P36:P37"/>
    <mergeCell ref="Q36:Q37"/>
    <mergeCell ref="C10:G10"/>
    <mergeCell ref="D39:F39"/>
    <mergeCell ref="D40:F40"/>
    <mergeCell ref="D42:F42"/>
    <mergeCell ref="D41:F41"/>
    <mergeCell ref="A1:R1"/>
    <mergeCell ref="J7:K7"/>
    <mergeCell ref="N10:O10"/>
    <mergeCell ref="M4:R4"/>
    <mergeCell ref="M13:R13"/>
    <mergeCell ref="N9:O9"/>
    <mergeCell ref="C6:G6"/>
    <mergeCell ref="C5:G5"/>
    <mergeCell ref="J6:K6"/>
    <mergeCell ref="B4:G4"/>
    <mergeCell ref="C8:G8"/>
    <mergeCell ref="I4:K4"/>
    <mergeCell ref="N5:O5"/>
    <mergeCell ref="C7:G7"/>
    <mergeCell ref="N8:O8"/>
    <mergeCell ref="N7:O7"/>
    <mergeCell ref="B69:R69"/>
    <mergeCell ref="N11:O11"/>
    <mergeCell ref="J5:K5"/>
    <mergeCell ref="J8:K8"/>
    <mergeCell ref="B38:K38"/>
    <mergeCell ref="C14:D14"/>
    <mergeCell ref="M57:R57"/>
    <mergeCell ref="B57:K57"/>
    <mergeCell ref="C9:G9"/>
    <mergeCell ref="M66:R66"/>
    <mergeCell ref="J9:K9"/>
    <mergeCell ref="B13:K13"/>
    <mergeCell ref="B65:R65"/>
    <mergeCell ref="B66:J66"/>
    <mergeCell ref="M48:R48"/>
    <mergeCell ref="N6:O6"/>
  </mergeCells>
  <pageMargins left="0.25" right="0.25" top="0.5" bottom="0.5" header="0.511811023622047" footer="0.511811023622047"/>
  <pageSetup scale="48" fitToHeight="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BD383F56907B46A7D4B13DC3BF9772" ma:contentTypeVersion="16" ma:contentTypeDescription="Create a new document." ma:contentTypeScope="" ma:versionID="09d6a3bf3da35c314269f96199dc7641">
  <xsd:schema xmlns:xsd="http://www.w3.org/2001/XMLSchema" xmlns:xs="http://www.w3.org/2001/XMLSchema" xmlns:p="http://schemas.microsoft.com/office/2006/metadata/properties" xmlns:ns2="db21b26b-72c0-4335-b1b4-598450cb3a13" xmlns:ns3="0459781f-f8bd-4ad2-951b-8ff3833c2d43" targetNamespace="http://schemas.microsoft.com/office/2006/metadata/properties" ma:root="true" ma:fieldsID="375196e3107d09fa8022d78276bcc31a" ns2:_="" ns3:_="">
    <xsd:import namespace="db21b26b-72c0-4335-b1b4-598450cb3a13"/>
    <xsd:import namespace="0459781f-f8bd-4ad2-951b-8ff3833c2d4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21b26b-72c0-4335-b1b4-598450cb3a1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ea16aee-a985-4266-9d8b-1837d4acf231}" ma:internalName="TaxCatchAll" ma:showField="CatchAllData" ma:web="db21b26b-72c0-4335-b1b4-598450cb3a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59781f-f8bd-4ad2-951b-8ff3833c2d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17ad164-4d26-4e66-b5f3-a3a1a00f62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59781f-f8bd-4ad2-951b-8ff3833c2d43">
      <Terms xmlns="http://schemas.microsoft.com/office/infopath/2007/PartnerControls"/>
    </lcf76f155ced4ddcb4097134ff3c332f>
    <TaxCatchAll xmlns="db21b26b-72c0-4335-b1b4-598450cb3a13" xsi:nil="true"/>
  </documentManagement>
</p:properties>
</file>

<file path=customXml/itemProps1.xml><?xml version="1.0" encoding="utf-8"?>
<ds:datastoreItem xmlns:ds="http://schemas.openxmlformats.org/officeDocument/2006/customXml" ds:itemID="{DFF2CAE0-4B13-46A6-8891-382E87FD216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4A7A78-5836-4BD6-BB88-92960AB902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21b26b-72c0-4335-b1b4-598450cb3a13"/>
    <ds:schemaRef ds:uri="0459781f-f8bd-4ad2-951b-8ff3833c2d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C8A148-5D7B-4E62-A471-4390E8443C1E}">
  <ds:schemaRefs>
    <ds:schemaRef ds:uri="http://schemas.microsoft.com/office/2006/metadata/properties"/>
    <ds:schemaRef ds:uri="http://schemas.microsoft.com/office/infopath/2007/PartnerControls"/>
    <ds:schemaRef ds:uri="0459781f-f8bd-4ad2-951b-8ff3833c2d43"/>
    <ds:schemaRef ds:uri="db21b26b-72c0-4335-b1b4-598450cb3a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Status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Saldierna</cp:lastModifiedBy>
  <cp:revision>0</cp:revision>
  <cp:lastPrinted>2026-04-17T22:21:35Z</cp:lastPrinted>
  <dcterms:created xsi:type="dcterms:W3CDTF">2026-04-17T22:08:32Z</dcterms:created>
  <dcterms:modified xsi:type="dcterms:W3CDTF">2026-04-27T20:57:12Z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0x01010094BD383F56907B46A7D4B13DC3BF9772</vt:lpwstr>
  </property>
</Properties>
</file>