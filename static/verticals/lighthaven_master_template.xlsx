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ergrp.sharepoint.com/sites/EMBERRealEstateInvestmentDevelopment/Shared Documents/05 - LightHaven/Reporting/Ember/"/>
    </mc:Choice>
  </mc:AlternateContent>
  <xr:revisionPtr revIDLastSave="1734" documentId="8_{DAE298EC-B110-44A2-9380-62AF62C6581E}" xr6:coauthVersionLast="47" xr6:coauthVersionMax="47" xr10:uidLastSave="{10894B3A-308B-459D-BEEA-F3C1A6D8D732}"/>
  <bookViews>
    <workbookView xWindow="57480" yWindow="2475" windowWidth="29040" windowHeight="15720" firstSheet="1" activeTab="2" xr2:uid="{512139DA-A3C7-4259-8674-C45E9C0DE12D}"/>
  </bookViews>
  <sheets>
    <sheet name="I. LeaseUp Template" sheetId="10" r:id="rId1"/>
    <sheet name="II. Operational Template" sheetId="7" r:id="rId2"/>
    <sheet name="Data Table" sheetId="11" r:id="rId3"/>
    <sheet name="Rent Roll - RPM" sheetId="12" r:id="rId4"/>
    <sheet name="Lease Tracker" sheetId="9" r:id="rId5"/>
    <sheet name="Weekly Traffic" sheetId="5" r:id="rId6"/>
    <sheet name="Leasing Pace" sheetId="1" r:id="rId7"/>
    <sheet name="Rents " sheetId="3" r:id="rId8"/>
    <sheet name="LeaseUp Template" sheetId="6" r:id="rId9"/>
  </sheets>
  <definedNames>
    <definedName name="____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_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__mo1">#REF!</definedName>
    <definedName name="__123Graph_F" hidden="1">#REF!</definedName>
    <definedName name="_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_FDS_HYPERLINK_TOGGLE_STATE__" hidden="1">"ON"</definedName>
    <definedName name="__mo1">#REF!</definedName>
    <definedName name="_10F" hidden="1">#REF!</definedName>
    <definedName name="_6F" hidden="1">#REF!</definedName>
    <definedName name="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8B14DE2DABC84DC5BF652222F70FA3D6.edm" hidden="1">#REF!</definedName>
    <definedName name="_Fill" hidden="1">#REF!</definedName>
    <definedName name="_xlnm._FilterDatabase" localSheetId="2" hidden="1">'Data Table'!$A$1:$T$118</definedName>
    <definedName name="_xlnm._FilterDatabase" localSheetId="3" hidden="1">'Rent Roll - RPM'!$B$1:$S$54</definedName>
    <definedName name="_Key1" hidden="1">#REF!</definedName>
    <definedName name="_Key2" hidden="1">#REF!</definedName>
    <definedName name="_mo1">#REF!</definedName>
    <definedName name="_Order1" hidden="1">255</definedName>
    <definedName name="_Order2" hidden="1">0</definedName>
    <definedName name="_Regression_Int" hidden="1">1</definedName>
    <definedName name="_Sort" hidden="1">#REF!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2" hidden="1">{"schedule1",#N/A,FALSE,"Sheet1";"schedule2",#N/A,FALSE,"Sheet1";"schedule3",#N/A,FALSE,"Sheet1";"schedule4",#N/A,FALSE,"Sheet1";"schedule5",#N/A,FALSE,"Sheet1";"schedule6",#N/A,FALSE,"Sheet1"}</definedName>
    <definedName name="AAA_DOCTOPS" hidden="1">"AAA_SET"</definedName>
    <definedName name="AAA_duser" hidden="1">"OFF"</definedName>
    <definedName name="aaaaaaa" hidden="1">{"Outflow 1",#N/A,FALSE,"Outflows-Inflows";"Outflow 2",#N/A,FALSE,"Outflows-Inflows";"Inflow 1",#N/A,FALSE,"Outflows-Inflows";"Inflow 2",#N/A,FALSE,"Outflows-Inflows"}</definedName>
    <definedName name="aaaaaaa_2" hidden="1">{"Outflow 1",#N/A,FALSE,"Outflows-Inflows";"Outflow 2",#N/A,FALSE,"Outflows-Inflows";"Inflow 1",#N/A,FALSE,"Outflows-Inflows";"Inflow 2",#N/A,FALSE,"Outflows-Inflows"}</definedName>
    <definedName name="aaaaaaaaaaa" hidden="1">{"rtn",#N/A,FALSE,"RTN";"tables",#N/A,FALSE,"RTN";"cf",#N/A,FALSE,"CF";"stats",#N/A,FALSE,"Stats";"prop",#N/A,FALSE,"Prop"}</definedName>
    <definedName name="aaaaaaaaaaa_2" hidden="1">{"rtn",#N/A,FALSE,"RTN";"tables",#N/A,FALSE,"RTN";"cf",#N/A,FALSE,"CF";"stats",#N/A,FALSE,"Stats";"prop",#N/A,FALSE,"Prop"}</definedName>
    <definedName name="aaaaaaaaaaaaa" hidden="1">{"Outflow 1",#N/A,FALSE,"Outflows-Inflows";"Outflow 2",#N/A,FALSE,"Outflows-Inflows";"Inflow 1",#N/A,FALSE,"Outflows-Inflows";"Inflow 2",#N/A,FALSE,"Outflows-Inflows"}</definedName>
    <definedName name="aaaaaaaaaaaaa_2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hidden="1">{"rtn",#N/A,FALSE,"RTN";"tables",#N/A,FALSE,"RTN";"cf",#N/A,FALSE,"CF";"stats",#N/A,FALSE,"Stats";"prop",#N/A,FALSE,"Prop"}</definedName>
    <definedName name="Access_Button" hidden="1">"ACQMODEL_Sheet1_List"</definedName>
    <definedName name="AccessDatabase" hidden="1">"L:\RDCUSER\MECH\TEMPLATE\ACQMODEL.mdb"</definedName>
    <definedName name="anscount" hidden="1">1</definedName>
    <definedName name="as" hidden="1">{"Outflow 1",#N/A,FALSE,"Outflows-Inflows";"Outflow 2",#N/A,FALSE,"Outflows-Inflows";"Inflow 1",#N/A,FALSE,"Outflows-Inflows";"Inflow 2",#N/A,FALSE,"Outflows-Inflows"}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Of">#REF!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aum_fee">#REF!</definedName>
    <definedName name="Bath">#REF!</definedName>
    <definedName name="bbbbbbbb" hidden="1">{"Outflow 1",#N/A,FALSE,"Outflows-Inflows";"Outflow 2",#N/A,FALSE,"Outflows-Inflows";"Inflow 1",#N/A,FALSE,"Outflows-Inflows";"Inflow 2",#N/A,FALSE,"Outflows-Inflows"}</definedName>
    <definedName name="bbbbbbbbbb" hidden="1">{"FOschedule1",#N/A,FALSE,"Sheet1";"FOschedule2",#N/A,FALSE,"Sheet1";"FOschedule3",#N/A,FALSE,"Sheet1"}</definedName>
    <definedName name="bbbbbbbbbbbbb" hidden="1">{"schedule1",#N/A,FALSE,"Sheet1";"schedule2",#N/A,FALSE,"Sheet1";"schedule3",#N/A,FALSE,"Sheet1";"schedule4",#N/A,FALSE,"Sheet1";"schedule5",#N/A,FALSE,"Sheet1";"schedule6",#N/A,FALSE,"Sheet1"}</definedName>
    <definedName name="Bed">#REF!</definedName>
    <definedName name="bnm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bond_AV_rate">#REF!</definedName>
    <definedName name="broker_fee">#REF!</definedName>
    <definedName name="BSIPbPageSetupChartSize" hidden="1">1</definedName>
    <definedName name="BSIPbPageSetupChartSize_0" hidden="1">0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"ANSI_B_(11.00_x_17.00_Inches)"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1224</definedName>
    <definedName name="BSIPbPageSetupPaperMarginBottom" hidden="1">1</definedName>
    <definedName name="BSIPbPageSetupPaperMarginBottom_0" hidden="1">0</definedName>
    <definedName name="BSIPbPageSetupPaperMarginFooter" hidden="1">1</definedName>
    <definedName name="BSIPbPageSetupPaperMarginFooter_0" hidden="1">0</definedName>
    <definedName name="BSIPbPageSetupPaperMarginHeader" hidden="1">1</definedName>
    <definedName name="BSIPbPageSetupPaperMarginHeader_0" hidden="1">0</definedName>
    <definedName name="BSIPbPageSetupPaperMarginLeft" hidden="1">1</definedName>
    <definedName name="BSIPbPageSetupPaperMarginLeft_0" hidden="1">0</definedName>
    <definedName name="BSIPbPageSetupPaperMarginRight" hidden="1">1</definedName>
    <definedName name="BSIPbPageSetupPaperMarginRight_0" hidden="1">0</definedName>
    <definedName name="BSIPbPageSetupPaperMarginTop" hidden="1">1</definedName>
    <definedName name="BSIPbPageSetupPaperMarginTop_0" hidden="1">0</definedName>
    <definedName name="BSIPbPageSetupPaperWidth" hidden="1">1</definedName>
    <definedName name="BSIPbPageSetupPaperWidth_0" hidden="1">792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0</definedName>
    <definedName name="BSIPbPageSetupUseZoom" hidden="1">1</definedName>
    <definedName name="BSIPbPageSetupUseZoom_0" hidden="1">0</definedName>
    <definedName name="BSIPbPageSetupZoom" hidden="1">1</definedName>
    <definedName name="BSIPbPageSetupZoom_0" hidden="1">100</definedName>
    <definedName name="BSIWhichPageSetup" hidden="1">1</definedName>
    <definedName name="BSIWhichPageSetup_0" hidden="1">"0þ"</definedName>
    <definedName name="cb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cb_sChart41E9A35_opts" hidden="1">"1, 9, 1, False, 2, False, False, , 0, False, True, 1, 1"</definedName>
    <definedName name="cccccccc" hidden="1">{"assume",#N/A,FALSE,"K&amp;20th Month CF";"MoCF",#N/A,FALSE,"K&amp;20th Month CF";"AnCF",#N/A,FALSE,"K&amp;20th Month CF"}</definedName>
    <definedName name="cccccccccccccc" hidden="1">{"schedule1",#N/A,FALSE,"Sheet1";"schedule2",#N/A,FALSE,"Sheet1";"schedule3",#N/A,FALSE,"Sheet1";"schedule4",#N/A,FALSE,"Sheet1";"schedule5",#N/A,FALSE,"Sheet1";"schedule6",#N/A,FALSE,"Sheet1"}</definedName>
    <definedName name="conflict_name" hidden="1">#REF!</definedName>
    <definedName name="conflict_name_2" hidden="1">#REF!</definedName>
    <definedName name="CU?">#REF!</definedName>
    <definedName name="CUpt2">#REF!</definedName>
    <definedName name="CurrentEmpOtherConc">#REF!</definedName>
    <definedName name="CurrentInPlaceRent">#REF!</definedName>
    <definedName name="CurrentIsMonthToMonth">#REF!</definedName>
    <definedName name="CurrentLeaseExpirationDate">#REF!</definedName>
    <definedName name="CurrentLeaseSignedDate">#REF!</definedName>
    <definedName name="CurrentLeaseTerm">#REF!</definedName>
    <definedName name="CurrentMoveInDate">#REF!</definedName>
    <definedName name="CurrentMoveOutDate">#REF!</definedName>
    <definedName name="CurrentNetEffectiveRent">#REF!</definedName>
    <definedName name="CurrentOtherIncome">#REF!</definedName>
    <definedName name="CurrentRecurringConc">#REF!</definedName>
    <definedName name="CurrentSuppRent">#REF!</definedName>
    <definedName name="CurrentUpfrontConc">#REF!</definedName>
    <definedName name="cvb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d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ddd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dddd" hidden="1">{"Outflow 1",#N/A,FALSE,"Outflows-Inflows";"Outflow 2",#N/A,FALSE,"Outflows-Inflows";"Inflow 1",#N/A,FALSE,"Outflows-Inflows";"Inflow 2",#N/A,FALSE,"Outflows-Inflows"}</definedName>
    <definedName name="dddddd" hidden="1">{#N/A,#N/A,FALSE,"CAPREIT"}</definedName>
    <definedName name="ddddddd" hidden="1">{#N/A,#N/A,FALSE,"CAPREIT"}</definedName>
    <definedName name="dddddddd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dddddddddddd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dddddddddddd" hidden="1">{"rtn",#N/A,FALSE,"RTN";"tables",#N/A,FALSE,"RTN";"cf",#N/A,FALSE,"CF";"stats",#N/A,FALSE,"Stats";"prop",#N/A,FALSE,"Prop"}</definedName>
    <definedName name="DealName">#REF!</definedName>
    <definedName name="DealUnits">#REF!</definedName>
    <definedName name="dfffffffff" hidden="1">{"print 1.6",#N/A,FALSE,"Sheet1";"print 2.6",#N/A,FALSE,"Sheet1";"print 3.6",#N/A,FALSE,"Sheet1";"print 4.6",#N/A,FALSE,"Sheet1";"print 5.6",#N/A,FALSE,"Sheet1";"print 6.6",#N/A,FALSE,"Sheet1"}</definedName>
    <definedName name="dfffffffffff" hidden="1">{"rtn",#N/A,FALSE,"RTN";"tables",#N/A,FALSE,"RTN";"cf",#N/A,FALSE,"CF";"stats",#N/A,FALSE,"Stats";"prop",#N/A,FALSE,"Prop"}</definedName>
    <definedName name="eeeeeeee" hidden="1">{"schedule1",#N/A,FALSE,"Sheet1";"schedule2",#N/A,FALSE,"Sheet1";"schedule3",#N/A,FALSE,"Sheet1";"schedule4",#N/A,FALSE,"Sheet1";"schedule5",#N/A,FALSE,"Sheet1";"schedule6",#N/A,FALSE,"Sheet1"}</definedName>
    <definedName name="eeeeeeeeeeeee" hidden="1">{"rtn",#N/A,FALSE,"RTN";"tables",#N/A,FALSE,"RTN";"cf",#N/A,FALSE,"CF";"stats",#N/A,FALSE,"Stats";"prop",#N/A,FALSE,"Prop"}</definedName>
    <definedName name="Equity_Share_GP">#REF!</definedName>
    <definedName name="Equity_Share_LP">#REF!</definedName>
    <definedName name="errrrrr" hidden="1">{"Outflow 1",#N/A,FALSE,"Outflows-Inflows";"Outflow 2",#N/A,FALSE,"Outflows-Inflows";"Inflow 1",#N/A,FALSE,"Outflows-Inflows";"Inflow 2",#N/A,FALSE,"Outflows-Inflows"}</definedName>
    <definedName name="ert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f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FC_IRR">#REF!</definedName>
    <definedName name="fdfdfd" hidden="1">{#N/A,#N/A,FALSE,"CAPREIT"}</definedName>
    <definedName name="fdfdfdf" hidden="1">{#N/A,#N/A,FALSE,"CAPREIT"}</definedName>
    <definedName name="fee_lot">#REF!</definedName>
    <definedName name="FF_1">#REF!</definedName>
    <definedName name="FF_2">#REF!</definedName>
    <definedName name="FF_3">#REF!</definedName>
    <definedName name="FF_4">#REF!</definedName>
    <definedName name="ffffff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fffffffffffff" hidden="1">{"Outflow 1",#N/A,FALSE,"Outflows-Inflows";"Outflow 2",#N/A,FALSE,"Outflows-Inflows";"Inflow 1",#N/A,FALSE,"Outflows-Inflows";"Inflow 2",#N/A,FALSE,"Outflows-Inflows"}</definedName>
    <definedName name="fgfffffff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fin_rate">#REF!</definedName>
    <definedName name="FloorPlan">#REF!</definedName>
    <definedName name="FutureEmpOtherConc">#REF!</definedName>
    <definedName name="FutureInPlaceRent">#REF!</definedName>
    <definedName name="FutureLeaseColumn">#REF!</definedName>
    <definedName name="FutureLeaseExpiration">#REF!</definedName>
    <definedName name="FutureLeaseSignedDate">#REF!</definedName>
    <definedName name="FutureLeaseTerm">#REF!</definedName>
    <definedName name="FutureMoveInDate">#REF!</definedName>
    <definedName name="FutureNetEffectiveRent">#REF!</definedName>
    <definedName name="FutureOtherIncome">#REF!</definedName>
    <definedName name="FutureRecurringConc">#REF!</definedName>
    <definedName name="FutureSuppRent">#REF!</definedName>
    <definedName name="FutureUpfrontConc">#REF!</definedName>
    <definedName name="g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gffffff" hidden="1">{#N/A,#N/A,TRUE,"10 Yr Hold";#N/A,#N/A,TRUE,"7 Yr Hold";#N/A,#N/A,TRUE,"5 Yr Hold";#N/A,#N/A,TRUE,"3 Yr Hold"}</definedName>
    <definedName name="ggggggggggg" hidden="1">{"Outflow 1",#N/A,FALSE,"Outflows-Inflows";"Outflow 2",#N/A,FALSE,"Outflows-Inflows";"Inflow 1",#N/A,FALSE,"Outflows-Inflows";"Inflow 2",#N/A,FALSE,"Outflows-Inflows"}</definedName>
    <definedName name="gggggggggggg" hidden="1">{"print 1.6",#N/A,FALSE,"Sheet1";"print 2.6",#N/A,FALSE,"Sheet1";"print 3.6",#N/A,FALSE,"Sheet1";"print 4.6",#N/A,FALSE,"Sheet1";"print 5.6",#N/A,FALSE,"Sheet1";"print 6.6",#N/A,FALSE,"Sheet1"}</definedName>
    <definedName name="ghhhhhhhhhh" hidden="1">{"schedule1",#N/A,FALSE,"Sheet1";"schedule2",#N/A,FALSE,"Sheet1";"schedule3",#N/A,FALSE,"Sheet1";"schedule4",#N/A,FALSE,"Sheet1";"schedule5",#N/A,FALSE,"Sheet1";"schedule6",#N/A,FALSE,"Sheet1"}</definedName>
    <definedName name="ghj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Ground_Lease" hidden="1">{#N/A,#N/A,FALSE,"Title Page";#N/A,#N/A,FALSE,"Index";#N/A,#N/A,FALSE,"Executive Summary";#N/A,#N/A,FALSE,"Building Areas";#N/A,#N/A,FALSE,"Construction Costs";#N/A,#N/A,FALSE,"Professional Fees";#N/A,#N/A,FALSE,"Marketing Fees";#N/A,#N/A,FALSE,"Finance";#N/A,#N/A,FALSE,"Rental Revenue";#N/A,#N/A,FALSE,"Lease Up Schedule";#N/A,#N/A,FALSE,"Profit";#N/A,#N/A,FALSE,"Cash Flow"}</definedName>
    <definedName name="hhhhhhhhh" hidden="1">{"assume",#N/A,FALSE,"K&amp;20th Month CF";"MoCF",#N/A,FALSE,"K&amp;20th Month CF";"AnCF",#N/A,FALSE,"K&amp;20th Month CF"}</definedName>
    <definedName name="hhhhhhhhhhh" hidden="1">{"print 1.6",#N/A,FALSE,"Sheet1";"print 2.6",#N/A,FALSE,"Sheet1";"print 3.6",#N/A,FALSE,"Sheet1";"print 4.6",#N/A,FALSE,"Sheet1";"print 5.6",#N/A,FALSE,"Sheet1";"print 6.6",#N/A,FALSE,"Sheet1"}</definedName>
    <definedName name="hurd1_IRR">#REF!</definedName>
    <definedName name="hurd2_IRR">#REF!</definedName>
    <definedName name="iiiiiiiiiii" hidden="1">{"Outflow 1",#N/A,FALSE,"Outflows-Inflows";"Outflow 2",#N/A,FALSE,"Outflows-Inflows";"Inflow 1",#N/A,FALSE,"Outflows-Inflows";"Inflow 2",#N/A,FALSE,"Outflows-Inflows"}</definedName>
    <definedName name="iiiiiiiiiiiiiiii" hidden="1">{"FOschedule1",#N/A,FALSE,"Sheet1";"FOschedule2",#N/A,FALSE,"Sheet1";"FOschedule3",#N/A,FALSE,"Sheet1"}</definedName>
    <definedName name="IntroPrintArea" hidden="1">#REF!</definedName>
    <definedName name="inv_share_equity">#REF!</definedName>
    <definedName name="inv_share_hurd1">#REF!</definedName>
    <definedName name="inv_share_hurd2">#REF!</definedName>
    <definedName name="inv_share_hurd3">#REF!</definedName>
    <definedName name="IO_Period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_COL" hidden="1">"c11631"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ASIC_WEIGHT_GUIDANCE" hidden="1">"c4141"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_COL" hidden="1">"c11715"</definedName>
    <definedName name="IQ_BV_OVER_SHARES" hidden="1">"c1349"</definedName>
    <definedName name="IQ_BV_SHARE" hidden="1">"c100"</definedName>
    <definedName name="IQ_BV_SHARE_ACT_OR_EST_CIQ_COL" hidden="1">"c11719"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_CIQ_COL" hidden="1">"c11743"</definedName>
    <definedName name="IQ_CAL_Y" hidden="1">"c102"</definedName>
    <definedName name="IQ_CAL_Y_EST_CIQ_COL" hidden="1">"c11744"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_COL" hidden="1">"c11718"</definedName>
    <definedName name="IQ_CAPEX_BNK" hidden="1">"c110"</definedName>
    <definedName name="IQ_CAPEX_BR" hidden="1">"c111"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GUIDANCE_CIQ" hidden="1">"c4632"</definedName>
    <definedName name="IQ_CAPEX_LOW_GUIDANCE_CIQ_COL" hidden="1">"c11281"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_COL" hidden="1">"c11215"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GUIDANCE_CIQ" hidden="1">"c4577"</definedName>
    <definedName name="IQ_CASH_OPER_GUIDANCE_CIQ_COL" hidden="1">"c11226"</definedName>
    <definedName name="IQ_CASH_OPER_HIGH_GUIDANCE_CIQ" hidden="1">"c4597"</definedName>
    <definedName name="IQ_CASH_OPER_HIGH_GUIDANCE_CIQ_COL" hidden="1">"c11246"</definedName>
    <definedName name="IQ_CASH_OPER_LOW_GUIDANCE_CIQ" hidden="1">"c4637"</definedName>
    <definedName name="IQ_CASH_OPER_LOW_GUIDANCE_CIQ_COL" hidden="1">"c11286"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EST" hidden="1">"c1667"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_WEIGHT_GUIDANCE" hidden="1">"c4270"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_COL" hidden="1">"c11450"</definedName>
    <definedName name="IQ_DISTRIBUTABLE_CASH_GUIDANCE_CIQ" hidden="1">"c4804"</definedName>
    <definedName name="IQ_DISTRIBUTABLE_CASH_GUIDANCE_CIQ_COL" hidden="1">"c11451"</definedName>
    <definedName name="IQ_DISTRIBUTABLE_CASH_HIGH_GUIDANCE_CIQ" hidden="1">"c4610"</definedName>
    <definedName name="IQ_DISTRIBUTABLE_CASH_HIGH_GUIDANCE_CIQ_COL" hidden="1">"c11259"</definedName>
    <definedName name="IQ_DISTRIBUTABLE_CASH_LOW_GUIDANCE_CIQ" hidden="1">"c4650"</definedName>
    <definedName name="IQ_DISTRIBUTABLE_CASH_LOW_GUIDANCE_CIQ_COL" hidden="1">"c11299"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_CIQ_COL" hidden="1">"c11458"</definedName>
    <definedName name="IQ_DISTRIBUTABLE_CASH_SHARE_GUIDANCE_CIQ" hidden="1">"c4812"</definedName>
    <definedName name="IQ_DISTRIBUTABLE_CASH_SHARE_GUIDANCE_CIQ_COL" hidden="1">"c11459"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GUIDANCE_CIQ" hidden="1">"c4651"</definedName>
    <definedName name="IQ_DISTRIBUTABLE_CASH_SHARE_LOW_GUIDANCE_CIQ_COL" hidden="1">"c11300"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EST" hidden="1">"c1674"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_CIQ_COL" hidden="1">"c11478"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HIGH_EST" hidden="1">"c1683"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_CIQ_COL" hidden="1">"c11488"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_CIQ_COL" hidden="1">"c11492"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_COL" hidden="1">"c11707"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BC_ACT_OR_EST_CIQ_COL" hidden="1">"c11509"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_CIQ_COL" hidden="1">"c11522"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_CIQ_COL" hidden="1">"c11526"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_COL" hidden="1">"c11705"</definedName>
    <definedName name="IQ_EPS_AP" hidden="1">"c8880"</definedName>
    <definedName name="IQ_EPS_AP_ABS" hidden="1">"c8899"</definedName>
    <definedName name="IQ_EPS_EST" hidden="1">"c399"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EST" hidden="1">"c1737"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_CIQ_COL" hidden="1">"c11548"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_CIQ_COL" hidden="1">"c11552"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TDDEV_EST" hidden="1">"c403"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ISTRIBUTABLE_CASH_CIQ_COL" hidden="1">"c11568"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FFO_CIQ_COL" hidden="1">"c11579"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ASH_FLOW_DIFF_CIQ_COL" hidden="1">"c11213"</definedName>
    <definedName name="IQ_EST_CASH_FLOW_SURPRISE_PERCENT_CIQ_COL" hidden="1">"c11222"</definedName>
    <definedName name="IQ_EST_CASH_OPER_DIFF_CIQ_COL" hidden="1">"c11223"</definedName>
    <definedName name="IQ_EST_CASH_OPER_SURPRISE_PERCENT_CIQ_COL" hidden="1">"c11421"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ISTRIBUTABLE_CASH_DIFF_CIQ_COL" hidden="1">"c11448"</definedName>
    <definedName name="IQ_EST_DISTRIBUTABLE_CASH_GROWTH_1YR_CIQ_COL" hidden="1">"c11585"</definedName>
    <definedName name="IQ_EST_DISTRIBUTABLE_CASH_GROWTH_2YR_CIQ_COL" hidden="1">"c11586"</definedName>
    <definedName name="IQ_EST_DISTRIBUTABLE_CASH_GROWTH_Q_1YR_CIQ_COL" hidden="1">"c11587"</definedName>
    <definedName name="IQ_EST_DISTRIBUTABLE_CASH_SEQ_GROWTH_Q_CIQ_COL" hidden="1">"c11588"</definedName>
    <definedName name="IQ_EST_DISTRIBUTABLE_CASH_SHARE_DIFF_CIQ_COL" hidden="1">"c11456"</definedName>
    <definedName name="IQ_EST_DISTRIBUTABLE_CASH_SHARE_GROWTH_1YR_CIQ_COL" hidden="1">"c11589"</definedName>
    <definedName name="IQ_EST_DISTRIBUTABLE_CASH_SHARE_GROWTH_2YR_CIQ_COL" hidden="1">"c11590"</definedName>
    <definedName name="IQ_EST_DISTRIBUTABLE_CASH_SHARE_GROWTH_Q_1YR_CIQ_COL" hidden="1">"c11591"</definedName>
    <definedName name="IQ_EST_DISTRIBUTABLE_CASH_SHARE_SEQ_GROWTH_Q_CIQ_COL" hidden="1">"c11592"</definedName>
    <definedName name="IQ_EST_DISTRIBUTABLE_CASH_SHARE_SURPRISE_PERCENT_CIQ_COL" hidden="1">"c11465"</definedName>
    <definedName name="IQ_EST_DISTRIBUTABLE_CASH_SURPRISE_PERCENT_CIQ_COL" hidden="1">"c11467"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GW_DIFF_CIQ_COL" hidden="1">"c11476"</definedName>
    <definedName name="IQ_EST_EBIT_GW_SURPRISE_PERCENT_CIQ_COL" hidden="1">"c11485"</definedName>
    <definedName name="IQ_EST_EBIT_SBC_DIFF_CIQ_COL" hidden="1">"c11486"</definedName>
    <definedName name="IQ_EST_EBIT_SBC_GW_DIFF_CIQ_COL" hidden="1">"c11490"</definedName>
    <definedName name="IQ_EST_EBIT_SBC_GW_SURPRISE_PERCENT_CIQ_COL" hidden="1">"c11499"</definedName>
    <definedName name="IQ_EST_EBIT_SBC_SURPRISE_PERCENT_CIQ_COL" hidden="1">"c11505"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BC_DIFF_CIQ_COL" hidden="1">"c11507"</definedName>
    <definedName name="IQ_EST_EBITDA_SBC_SURPRISE_PERCENT_CIQ_COL" hidden="1">"c11516"</definedName>
    <definedName name="IQ_EST_EBITDA_SEQ_GROWTH_Q" hidden="1">"c1769"</definedName>
    <definedName name="IQ_EST_EBITDA_SURPRISE_PERCENT" hidden="1">"c1868"</definedName>
    <definedName name="IQ_EST_EBT_SBC_DIFF_CIQ_COL" hidden="1">"c11520"</definedName>
    <definedName name="IQ_EST_EBT_SBC_GW_DIFF_CIQ_COL" hidden="1">"c11524"</definedName>
    <definedName name="IQ_EST_EBT_SBC_GW_SURPRISE_PERCENT_CIQ_COL" hidden="1">"c11533"</definedName>
    <definedName name="IQ_EST_EBT_SBC_SURPRISE_PERCENT_CIQ_COL" hidden="1">"c11539"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BC_DIFF_CIQ_COL" hidden="1">"c11546"</definedName>
    <definedName name="IQ_EST_EPS_SBC_GW_DIFF_CIQ_COL" hidden="1">"c11550"</definedName>
    <definedName name="IQ_EST_EPS_SBC_GW_SURPRISE_PERCENT_CIQ_COL" hidden="1">"c11559"</definedName>
    <definedName name="IQ_EST_EPS_SBC_SURPRISE_PERCENT_CIQ_COL" hidden="1">"c11565"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AIR_VALUE_MORT_SERVICING_ASSETS_FFIEC" hidden="1">"c12956"</definedName>
    <definedName name="IQ_EST_FFO_ADJ_DIFF_CIQ_COL" hidden="1">"c11605"</definedName>
    <definedName name="IQ_EST_FFO_ADJ_GROWTH_1YR_CIQ_COL" hidden="1">"c11593"</definedName>
    <definedName name="IQ_EST_FFO_ADJ_GROWTH_2YR_CIQ_COL" hidden="1">"c11594"</definedName>
    <definedName name="IQ_EST_FFO_ADJ_GROWTH_Q_1YR_CIQ_COL" hidden="1">"c11595"</definedName>
    <definedName name="IQ_EST_FFO_ADJ_SEQ_GROWTH_Q_CIQ_COL" hidden="1">"c11596"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GROWTH_1YR" hidden="1">"c1770"</definedName>
    <definedName name="IQ_EST_FFO_GROWTH_1YR_CIQ_COL" hidden="1">"c11597"</definedName>
    <definedName name="IQ_EST_FFO_GROWTH_2YR" hidden="1">"c1771"</definedName>
    <definedName name="IQ_EST_FFO_GROWTH_2YR_CIQ_COL" hidden="1">"c11598"</definedName>
    <definedName name="IQ_EST_FFO_GROWTH_Q_1YR" hidden="1">"c1772"</definedName>
    <definedName name="IQ_EST_FFO_GROWTH_Q_1YR_CIQ_COL" hidden="1">"c11599"</definedName>
    <definedName name="IQ_EST_FFO_SEQ_GROWTH_Q" hidden="1">"c1773"</definedName>
    <definedName name="IQ_EST_FFO_SEQ_GROWTH_Q_CIQ_COL" hidden="1">"c11600"</definedName>
    <definedName name="IQ_EST_FFO_SURPRISE_PERCENT" hidden="1">"c1870"</definedName>
    <definedName name="IQ_EST_FFO_SURPRISE_PERCENT_CIQ_COL" hidden="1">"c11629"</definedName>
    <definedName name="IQ_EST_MAINT_CAPEX_DIFF_CIQ_COL" hidden="1">"c11632"</definedName>
    <definedName name="IQ_EST_MAINT_CAPEX_GROWTH_1YR_CIQ_COL" hidden="1">"c11601"</definedName>
    <definedName name="IQ_EST_MAINT_CAPEX_GROWTH_2YR_CIQ_COL" hidden="1">"c11602"</definedName>
    <definedName name="IQ_EST_MAINT_CAPEX_GROWTH_Q_1YR_CIQ_COL" hidden="1">"c11603"</definedName>
    <definedName name="IQ_EST_MAINT_CAPEX_SEQ_GROWTH_Q_CIQ_COL" hidden="1">"c11604"</definedName>
    <definedName name="IQ_EST_MAINT_CAPEX_SURPRISE_PERCENT_CIQ_COL" hidden="1">"c11650"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_CIQ_COL" hidden="1">"c11657"</definedName>
    <definedName name="IQ_EST_NI_SBC_GW_DIFF_CIQ_COL" hidden="1">"c11661"</definedName>
    <definedName name="IQ_EST_NI_SBC_GW_SURPRISE_PERCENT_CIQ_COL" hidden="1">"c11670"</definedName>
    <definedName name="IQ_EST_NI_SBC_SURPRISE_PERCENT_CIQ_COL" hidden="1">"c11676"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ERIOD_ID" hidden="1">"c13923"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CURRING_PROFIT_SHARE_DIFF_CIQ_COL" hidden="1">"c11690"</definedName>
    <definedName name="IQ_EST_RECURRING_PROFIT_SHARE_SURPRISE_PERCENT_CIQ_COL" hidden="1">"c11700"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_CIQ_COL" hidden="1">"c11607"</definedName>
    <definedName name="IQ_FFO_ADJ_GUIDANCE_CIQ" hidden="1">"c4961"</definedName>
    <definedName name="IQ_FFO_ADJ_GUIDANCE_CIQ_COL" hidden="1">"c11608"</definedName>
    <definedName name="IQ_FFO_ADJ_HIGH_GUIDANCE_CIQ" hidden="1">"c4614"</definedName>
    <definedName name="IQ_FFO_ADJ_HIGH_GUIDANCE_CIQ_COL" hidden="1">"c11263"</definedName>
    <definedName name="IQ_FFO_ADJ_LOW_GUIDANCE_CIQ" hidden="1">"c4654"</definedName>
    <definedName name="IQ_FFO_ADJ_LOW_GUIDANCE_CIQ_COL" hidden="1">"c11303"</definedName>
    <definedName name="IQ_FFO_DILUTED" hidden="1">"c16186"</definedName>
    <definedName name="IQ_FFO_EST" hidden="1">"c418"</definedName>
    <definedName name="IQ_FFO_EST_CIQ_COL" hidden="1">"c11617"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_COL" hidden="1">"c11624"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_COL" hidden="1">"c11625"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_COL" hidden="1">"c11626"</definedName>
    <definedName name="IQ_FFO_NUM_EST" hidden="1">"c421"</definedName>
    <definedName name="IQ_FFO_NUM_EST_CIQ_COL" hidden="1">"c11627"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_COL" hidden="1">"c11618"</definedName>
    <definedName name="IQ_FFO_SHARE_GUIDANCE_CIQ" hidden="1">"c4976"</definedName>
    <definedName name="IQ_FFO_SHARE_GUIDANCE_CIQ_COL" hidden="1">"c11623"</definedName>
    <definedName name="IQ_FFO_SHARE_HIGH_GUIDANCE_CIQ" hidden="1">"c4615"</definedName>
    <definedName name="IQ_FFO_SHARE_HIGH_GUIDANCE_CIQ_COL" hidden="1">"c11264"</definedName>
    <definedName name="IQ_FFO_SHARE_LOW_GUIDANCE_CIQ" hidden="1">"c4655"</definedName>
    <definedName name="IQ_FFO_SHARE_LOW_GUIDANCE_CIQ_COL" hidden="1">"c11304"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_COL" hidden="1">"c11628"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CIQ_COL" hidden="1">"c11741"</definedName>
    <definedName name="IQ_FISCAL_Y" hidden="1">"c441"</definedName>
    <definedName name="IQ_FISCAL_Y_EST_CIQ_COL" hidden="1">"c11742"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_COL" hidden="1">"c11634"</definedName>
    <definedName name="IQ_MAINT_CAPEX_GUIDANCE_CIQ" hidden="1">"c4988"</definedName>
    <definedName name="IQ_MAINT_CAPEX_GUIDANCE_CIQ_COL" hidden="1">"c11635"</definedName>
    <definedName name="IQ_MAINT_CAPEX_HIGH_GUIDANCE_CIQ" hidden="1">"c4609"</definedName>
    <definedName name="IQ_MAINT_CAPEX_HIGH_GUIDANCE_CIQ_COL" hidden="1">"c11258"</definedName>
    <definedName name="IQ_MAINT_CAPEX_LOW_GUIDANCE_CIQ" hidden="1">"c4649"</definedName>
    <definedName name="IQ_MAINT_CAPEX_LOW_GUIDANCE_CIQ_COL" hidden="1">"c11298"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40469.3094212963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_COL" hidden="1">"c11717"</definedName>
    <definedName name="IQ_NET_DEBT_EBITDA" hidden="1">"c750"</definedName>
    <definedName name="IQ_NET_DEBT_EBITDA_CAPEX" hidden="1">"c2949"</definedName>
    <definedName name="IQ_NET_DEBT_GUIDANCE_CIQ" hidden="1">"c5005"</definedName>
    <definedName name="IQ_NET_DEBT_GUIDANCE_CIQ_COL" hidden="1">"c11652"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GUIDANCE_CIQ" hidden="1">"c4633"</definedName>
    <definedName name="IQ_NET_DEBT_LOW_GUIDANCE_CIQ_COL" hidden="1">"c11282"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_COL" hidden="1">"c11659"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_CIQ_COL" hidden="1">"c11663"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"c20388"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_CIQ_COL" hidden="1">"c11677"</definedName>
    <definedName name="IQ_PRICE_VOLATILITY_HIGH_CIQ_COL" hidden="1">"c11678"</definedName>
    <definedName name="IQ_PRICE_VOLATILITY_LOW_CIQ_COL" hidden="1">"c11679"</definedName>
    <definedName name="IQ_PRICE_VOLATILITY_MEDIAN_CIQ_COL" hidden="1">"c11680"</definedName>
    <definedName name="IQ_PRICE_VOLATILITY_NUM_CIQ_COL" hidden="1">"c11681"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_COL" hidden="1">"c11692"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SHARE_ACT_OR_EST_CIQ_COL" hidden="1">"c11693"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GUIDANCE_CIQ" hidden="1">"c4595"</definedName>
    <definedName name="IQ_RETURN_ASSETS_HIGH_GUIDANCE_CIQ_COL" hidden="1">"c11244"</definedName>
    <definedName name="IQ_RETURN_ASSETS_LOW_GUIDANCE_CIQ" hidden="1">"c4635"</definedName>
    <definedName name="IQ_RETURN_ASSETS_LOW_GUIDANCE_CIQ_COL" hidden="1">"c11284"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GUIDANCE_CIQ" hidden="1">"c4594"</definedName>
    <definedName name="IQ_RETURN_EQUITY_HIGH_GUIDANCE_CIQ_COL" hidden="1">"c11243"</definedName>
    <definedName name="IQ_RETURN_EQUITY_LOW_GUIDANCE_CIQ" hidden="1">"c4634"</definedName>
    <definedName name="IQ_RETURN_EQUITY_LOW_GUIDANCE_CIQ_COL" hidden="1">"c11283"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_COL" hidden="1">"c11706"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NUM_EST" hidden="1">"c1129"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38838.4173958333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SCORE_DX" hidden="1">"c17439"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Edit">#REF!</definedName>
    <definedName name="IsNoticeToVacate">#REF!</definedName>
    <definedName name="jjjjjjjj" hidden="1">{"rtn",#N/A,FALSE,"RTN";"tables",#N/A,FALSE,"RTN";"cf",#N/A,FALSE,"CF";"stats",#N/A,FALSE,"Stats";"prop",#N/A,FALSE,"Prop"}</definedName>
    <definedName name="jjjjjjjjjjjjjjj" hidden="1">{"rtn",#N/A,FALSE,"RTN";"tables",#N/A,FALSE,"RTN";"cf",#N/A,FALSE,"CF";"stats",#N/A,FALSE,"Stats";"prop",#N/A,FALSE,"Prop"}</definedName>
    <definedName name="kk" hidden="1">{#N/A,#N/A,FALSE,"CAPREIT"}</definedName>
    <definedName name="kkkkkkkkkkkkk" hidden="1">{"print 1.6",#N/A,FALSE,"Sheet1";"print 2.6",#N/A,FALSE,"Sheet1";"print 3.6",#N/A,FALSE,"Sheet1";"print 4.6",#N/A,FALSE,"Sheet1";"print 5.6",#N/A,FALSE,"Sheet1";"print 6.6",#N/A,FALSE,"Sheet1"}</definedName>
    <definedName name="land_acre">#REF!</definedName>
    <definedName name="land_plan_lot">#REF!</definedName>
    <definedName name="Lev_IRR">#REF!</definedName>
    <definedName name="limcount" hidden="1">1</definedName>
    <definedName name="llllllllllllllllll" hidden="1">{"rtn",#N/A,FALSE,"RTN";"tables",#N/A,FALSE,"RTN";"cf",#N/A,FALSE,"CF";"stats",#N/A,FALSE,"Stats";"prop",#N/A,FALSE,"Prop"}</definedName>
    <definedName name="Location">#REF!</definedName>
    <definedName name="lot_name1">#REF!</definedName>
    <definedName name="lot_name2">#REF!</definedName>
    <definedName name="lot_name3">#REF!</definedName>
    <definedName name="lot_name4">#REF!</definedName>
    <definedName name="MarketRent">#REF!</definedName>
    <definedName name="mkt_cost_lot">#REF!</definedName>
    <definedName name="mkt_rev_lot">#REF!</definedName>
    <definedName name="mmmmmmmmm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mmmmmmmmmm" hidden="1">{"Outflow 1",#N/A,FALSE,"Outflows-Inflows";"Outflow 2",#N/A,FALSE,"Outflows-Inflows";"Inflow 1",#N/A,FALSE,"Outflows-Inflows";"Inflow 2",#N/A,FALSE,"Outflows-Inflows"}</definedName>
    <definedName name="mto">#REF!</definedName>
    <definedName name="Name">#REF!</definedName>
    <definedName name="NetSf">#REF!</definedName>
    <definedName name="new" hidden="1">{"rtn",#N/A,FALSE,"RTN";"tables",#N/A,FALSE,"RTN";"cf",#N/A,FALSE,"CF";"stats",#N/A,FALSE,"Stats";"prop",#N/A,FALSE,"Prop"}</definedName>
    <definedName name="new_2" hidden="1">{"Outflow 1",#N/A,FALSE,"Outflows-Inflows";"Outflow 2",#N/A,FALSE,"Outflows-Inflows";"Inflow 1",#N/A,FALSE,"Outflows-Inflows";"Inflow 2",#N/A,FALSE,"Outflows-Inflows"}</definedName>
    <definedName name="nm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nomos">#REF!</definedName>
    <definedName name="Number_of_Payments" localSheetId="0">MATCH(0.01,End_Bal,-1)+1</definedName>
    <definedName name="Number_of_Payments" localSheetId="1">MATCH(0.01,End_Bal,-1)+1</definedName>
    <definedName name="Number_of_Payments" localSheetId="8">MATCH(0.01,End_Bal,-1)+1</definedName>
    <definedName name="Number_of_Payments">MATCH(0.01,End_Bal,-1)+1</definedName>
    <definedName name="NumTotalUnits">#REF!</definedName>
    <definedName name="OccupancyString">#REF!</definedName>
    <definedName name="OldDateStamp">#REF!</definedName>
    <definedName name="oooooooooooooooo" hidden="1">{#N/A,#N/A,TRUE,"10 Yr Hold";#N/A,#N/A,TRUE,"7 Yr Hold";#N/A,#N/A,TRUE,"5 Yr Hold";#N/A,#N/A,TRUE,"3 Yr Hold"}</definedName>
    <definedName name="own_share_equity">#REF!</definedName>
    <definedName name="own_share_hurd1">#REF!</definedName>
    <definedName name="own_share_hurd2">#REF!</definedName>
    <definedName name="own_share_hurd3">#REF!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ppppppppppppp" hidden="1">{"Outflow 1",#N/A,FALSE,"Outflows-Inflows";"Outflow 2",#N/A,FALSE,"Outflows-Inflows";"Inflow 1",#N/A,FALSE,"Outflows-Inflows";"Inflow 2",#N/A,FALSE,"Outflows-Inflows"}</definedName>
    <definedName name="pref_rate">#REF!</definedName>
    <definedName name="pref_type">#REF!</definedName>
    <definedName name="Preferred_Return">#REF!</definedName>
    <definedName name="Price">#REF!</definedName>
    <definedName name="_xlnm.Print_Area" localSheetId="0">'I. LeaseUp Template'!$B$1:$O$113</definedName>
    <definedName name="_xlnm.Print_Area" localSheetId="1">'II. Operational Template'!$B$1:$O$101</definedName>
    <definedName name="_xlnm.Print_Area" localSheetId="4">'Lease Tracker'!$A$1:$E$80</definedName>
    <definedName name="_xlnm.Print_Area" localSheetId="8">'LeaseUp Template'!$A$1:$M$97</definedName>
    <definedName name="Print_Area_Reset" localSheetId="0">OFFSET(Full_Print,0,0,Last_Row)</definedName>
    <definedName name="Print_Area_Reset" localSheetId="1">OFFSET(Full_Print,0,0,Last_Row)</definedName>
    <definedName name="Print_Area_Reset" localSheetId="8">OFFSET(Full_Print,0,0,Last_Row)</definedName>
    <definedName name="Print_Area_Reset">OFFSET(Full_Print,0,0,Last_Row)</definedName>
    <definedName name="PrintAreaRR">#REF!</definedName>
    <definedName name="PrintAreaSD">#REF!:INDEX(#REF!,COUNTA(#REF!))</definedName>
    <definedName name="Promote_Structure">#REF!</definedName>
    <definedName name="PropName">#REF!</definedName>
    <definedName name="Pru" hidden="1">{#N/A,#N/A,FALSE,"Input"}</definedName>
    <definedName name="q" hidden="1">{"rtn",#N/A,FALSE,"RTN";"tables",#N/A,FALSE,"RTN";"cf",#N/A,FALSE,"CF";"stats",#N/A,FALSE,"Stats";"prop",#N/A,FALSE,"Prop"}</definedName>
    <definedName name="qef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qer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qwe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re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RenovationString">#REF!</definedName>
    <definedName name="Rent1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Type">#REF!</definedName>
    <definedName name="rrrrrrrr" hidden="1">{"print 1.6",#N/A,FALSE,"Sheet1";"print 2.6",#N/A,FALSE,"Sheet1";"print 3.6",#N/A,FALSE,"Sheet1";"print 4.6",#N/A,FALSE,"Sheet1";"print 5.6",#N/A,FALSE,"Sheet1";"print 6.6",#N/A,FALSE,"Sheet1"}</definedName>
    <definedName name="rrrrrrrrrrrrrr" hidden="1">{"print 1.6",#N/A,FALSE,"Sheet1";"print 2.6",#N/A,FALSE,"Sheet1";"print 3.6",#N/A,FALSE,"Sheet1";"print 4.6",#N/A,FALSE,"Sheet1";"print 5.6",#N/A,FALSE,"Sheet1";"print 6.6",#N/A,FALSE,"Sheet1"}</definedName>
    <definedName name="rrrrrrrrrrrrrrrr" hidden="1">{"Outflow 1",#N/A,FALSE,"Outflows-Inflows";"Outflow 2",#N/A,FALSE,"Outflows-Inflows";"Inflow 1",#N/A,FALSE,"Outflows-Inflows";"Inflow 2",#N/A,FALSE,"Outflows-Inflows"}</definedName>
    <definedName name="saa" hidden="1">{"rtn",#N/A,FALSE,"RTN";"tables",#N/A,FALSE,"RTN";"cf",#N/A,FALSE,"CF";"stats",#N/A,FALSE,"Stats";"prop",#N/A,FALSE,"Prop"}</definedName>
    <definedName name="sas" hidden="1">{"Outflow 1",#N/A,FALSE,"Outflows-Inflows";"Outflow 2",#N/A,FALSE,"Outflows-Inflows";"Inflow 1",#N/A,FALSE,"Outflows-Inflows";"Inflow 2",#N/A,FALSE,"Outflows-Inflows"}</definedName>
    <definedName name="sddddddddd" hidden="1">{"schedule1",#N/A,FALSE,"Sheet1";"schedule2",#N/A,FALSE,"Sheet1";"schedule3",#N/A,FALSE,"Sheet1";"schedule4",#N/A,FALSE,"Sheet1";"schedule5",#N/A,FALSE,"Sheet1";"schedule6",#N/A,FALSE,"Sheet1"}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encount" hidden="1">1</definedName>
    <definedName name="SF_Unit">#REF!</definedName>
    <definedName name="SkyPoint" localSheetId="0">IF(Payment_Number&lt;=#REF!,1,0)</definedName>
    <definedName name="SkyPoint" localSheetId="1">IF(Payment_Number&lt;=#REF!,1,0)</definedName>
    <definedName name="SkyPoint" localSheetId="8">IF(Payment_Number&lt;=#REF!,1,0)</definedName>
    <definedName name="SkyPoint">IF(Payment_Number&lt;=#REF!,1,0)</definedName>
    <definedName name="solver_lin" hidden="1">0</definedName>
    <definedName name="solver_num" hidden="1">0</definedName>
    <definedName name="solver_typ" hidden="1">3</definedName>
    <definedName name="solver_val" hidden="1">0.6</definedName>
    <definedName name="SqFtColumn">#REF!</definedName>
    <definedName name="sssssss" hidden="1">{"rtn",#N/A,FALSE,"RTN";"tables",#N/A,FALSE,"RTN";"cf",#N/A,FALSE,"CF";"stats",#N/A,FALSE,"Stats";"prop",#N/A,FALSE,"Prop"}</definedName>
    <definedName name="sssssssss" hidden="1">{"print 1.6",#N/A,FALSE,"Sheet1";"print 2.6",#N/A,FALSE,"Sheet1";"print 3.6",#N/A,FALSE,"Sheet1";"print 4.6",#N/A,FALSE,"Sheet1";"print 5.6",#N/A,FALSE,"Sheet1";"print 6.6",#N/A,FALSE,"Sheet1"}</definedName>
    <definedName name="sssssssssss" hidden="1">{"rtn",#N/A,FALSE,"RTN";"tables",#N/A,FALSE,"RTN";"cf",#N/A,FALSE,"CF";"stats",#N/A,FALSE,"Stats";"prop",#N/A,FALSE,"Prop"}</definedName>
    <definedName name="sssssssssssss" hidden="1">{"Outflow 1",#N/A,FALSE,"Outflows-Inflows";"Outflow 2",#N/A,FALSE,"Outflows-Inflows";"Inflow 1",#N/A,FALSE,"Outflows-Inflows";"Inflow 2",#N/A,FALSE,"Outflows-Inflows"}</definedName>
    <definedName name="tot_equity">#REF!</definedName>
    <definedName name="Total_Equity">#REF!</definedName>
    <definedName name="ttt" hidden="1">{#N/A,#N/A,TRUE,"10 Yr Hold";#N/A,#N/A,TRUE,"7 Yr Hold";#N/A,#N/A,TRUE,"5 Yr Hold";#N/A,#N/A,TRUE,"3 Yr Hold"}</definedName>
    <definedName name="tttttt" hidden="1">{"schedule1",#N/A,FALSE,"Sheet1";"schedule2",#N/A,FALSE,"Sheet1";"schedule3",#N/A,FALSE,"Sheet1";"schedule4",#N/A,FALSE,"Sheet1";"schedule5",#N/A,FALSE,"Sheet1";"schedule6",#N/A,FALSE,"Sheet1"}</definedName>
    <definedName name="ttttttttttttttttttttt" hidden="1">{"Outflow 1",#N/A,FALSE,"Outflows-Inflows";"Outflow 2",#N/A,FALSE,"Outflows-Inflows";"Inflow 1",#N/A,FALSE,"Outflows-Inflows";"Inflow 2",#N/A,FALSE,"Outflows-Inflows"}</definedName>
    <definedName name="ty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ty_2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UnitNo">#REF!</definedName>
    <definedName name="UnitNoColumn">#REF!</definedName>
    <definedName name="Units">#REF!</definedName>
    <definedName name="UnitsPopulated">#REF!</definedName>
    <definedName name="uuuuuuuuuuu" hidden="1">{"rtn",#N/A,FALSE,"RTN";"tables",#N/A,FALSE,"RTN";"cf",#N/A,FALSE,"CF";"stats",#N/A,FALSE,"Stats";"prop",#N/A,FALSE,"Prop"}</definedName>
    <definedName name="uuuuuuuuuuuu" hidden="1">{"print 1.6",#N/A,FALSE,"Sheet1";"print 2.6",#N/A,FALSE,"Sheet1";"print 3.6",#N/A,FALSE,"Sheet1";"print 4.6",#N/A,FALSE,"Sheet1";"print 5.6",#N/A,FALSE,"Sheet1";"print 6.6",#N/A,FALSE,"Sheet1"}</definedName>
    <definedName name="uuuuuuuuuuuuuuuuu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Values_Entered" localSheetId="0">IF(Loan_Amount*Interest_Rate*Loan_Years*Loan_Start&gt;0,1,0)</definedName>
    <definedName name="Values_Entered" localSheetId="1">IF(Loan_Amount*Interest_Rate*Loan_Years*Loan_Start&gt;0,1,0)</definedName>
    <definedName name="Values_Entered" localSheetId="8">IF(Loan_Amount*Interest_Rate*Loan_Years*Loan_Start&gt;0,1,0)</definedName>
    <definedName name="Values_Entered">IF(Loan_Amount*Interest_Rate*Loan_Years*Loan_Start&gt;0,1,0)</definedName>
    <definedName name="vn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vvvvvvv" hidden="1">{"Outflow 1",#N/A,FALSE,"Outflows-Inflows";"Outflow 2",#N/A,FALSE,"Outflows-Inflows";"Inflow 1",#N/A,FALSE,"Outflows-Inflows";"Inflow 2",#N/A,FALSE,"Outflows-Inflows"}</definedName>
    <definedName name="vvvvvvvv" hidden="1">{"rtn",#N/A,FALSE,"RTN";"tables",#N/A,FALSE,"RTN";"cf",#N/A,FALSE,"CF";"stats",#N/A,FALSE,"Stats";"prop",#N/A,FALSE,"Prop"}</definedName>
    <definedName name="vvvvvvvvvv" hidden="1">{"Outflow 1",#N/A,FALSE,"Outflows-Inflows";"Outflow 2",#N/A,FALSE,"Outflows-Inflows";"Inflow 1",#N/A,FALSE,"Outflows-Inflows";"Inflow 2",#N/A,FALSE,"Outflows-Inflows"}</definedName>
    <definedName name="vvvvvvvvvvvvv" hidden="1">{"rtn",#N/A,FALSE,"RTN";"tables",#N/A,FALSE,"RTN";"cf",#N/A,FALSE,"CF";"stats",#N/A,FALSE,"Stats";"prop",#N/A,FALSE,"Prop"}</definedName>
    <definedName name="wer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1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001._.Budget._.by._.Qtr." hidden="1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udget._.by._.Year." hidden="1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.by._.Month." hidden="1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3yr.CF." hidden="1">{"assume",#N/A,FALSE,"K&amp;20th Month CF";"MoCF",#N/A,FALSE,"K&amp;20th Month CF";"AnCF",#N/A,FALSE,"K&amp;20th Month CF"}</definedName>
    <definedName name="wrn.All.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.periods." hidden="1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per." hidden="1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iods." hidden="1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llperiods._.without._.Office._.Detail.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CAPREIT." hidden="1">{#N/A,#N/A,FALSE,"CAPREIT"}</definedName>
    <definedName name="wrn.CAPREIT2" hidden="1">{#N/A,#N/A,FALSE,"CAPREIT"}</definedName>
    <definedName name="wrn.condensed." hidden="1">{#N/A,#N/A,FALSE,"Unconsolidated Debt"}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elopment._.Proforma." hidden="1">{"Summary",#N/A,FALSE,"Primary Worksheet";"Unit Mix",#N/A,FALSE,"Primary Worksheet";"Op Statement2",#N/A,FALSE,"Primary Worksheet";"Dev Budget",#N/A,FALSE,"Primary Worksheet";"Capital",#N/A,FALSE,"Primary Worksheet";"Cash Flow2",#N/A,FALSE,"Primary Worksheet"}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xternal._.Report__detail._.hidden." hidden="1">{"CREELP external",#N/A,FALSE,"CREELP";#N/A,#N/A,FALSE,"Funding 1 &amp; 2";#N/A,#N/A,FALSE,"Funding 8"}</definedName>
    <definedName name="wrn.FOschedules." hidden="1">{"FOschedule1",#N/A,FALSE,"Sheet1";"FOschedule2",#N/A,FALSE,"Sheet1";"FOschedule3",#N/A,FALSE,"Sheet1"}</definedName>
    <definedName name="wrn.Internal._.Report__detail._.displayed." hidden="1">{"CREELP Internal",#N/A,FALSE,"CREELP";#N/A,#N/A,FALSE,"Funding 1 &amp; 2";#N/A,#N/A,FALSE,"Funding 8";#N/A,#N/A,FALSE,"Capitalization";#N/A,#N/A,FALSE,"Company EBITDA"}</definedName>
    <definedName name="wrn.IRRs." hidden="1">{"IRR18",#N/A,FALSE,"Primary Worksheet";"IRR21",#N/A,FALSE,"Primary Worksheet";"IRR24",#N/A,FALSE,"Primary Worksheet";"IRR27",#N/A,FALSE,"Primary Worksheet";"IRR30",#N/A,FALSE,"Primary Worksheet";"IRR33",#N/A,FALSE,"Primary Worksheet";"IRR36",#N/A,FALSE,"Primary Worksheet"}</definedName>
    <definedName name="wrn.Market._.Values." hidden="1">{#N/A,#N/A,TRUE,"10 Yr Hold";#N/A,#N/A,TRUE,"7 Yr Hold";#N/A,#N/A,TRUE,"5 Yr Hold";#N/A,#N/A,TRUE,"3 Yr Hold"}</definedName>
    <definedName name="wrn.ModelReview." hidden="1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name="wrn.NOI._.Input." hidden="1">{#N/A,#N/A,FALSE,"Input"}</definedName>
    <definedName name="wrn.NOI_Summary." hidden="1">{#N/A,#N/A,FALSE,"NOI"}</definedName>
    <definedName name="wrn.open." hidden="1">{#N/A,#N/A,FALSE,"Unconsolidated Debt"}</definedName>
    <definedName name="wrn.Package." hidden="1">{#N/A,#N/A,FALSE,"Title Page";#N/A,#N/A,FALSE,"Index";#N/A,#N/A,FALSE,"Executive Summary";#N/A,#N/A,FALSE,"Building Areas";#N/A,#N/A,FALSE,"Construction Costs";#N/A,#N/A,FALSE,"Professional Fees";#N/A,#N/A,FALSE,"Marketing Fees";#N/A,#N/A,FALSE,"Finance";#N/A,#N/A,FALSE,"Rental Revenue";#N/A,#N/A,FALSE,"Lease Up Schedule";#N/A,#N/A,FALSE,"Profit";#N/A,#N/A,FALSE,"Cash Flow"}</definedName>
    <definedName name="wrn.page1." hidden="1">{"page1",#N/A,FALSE,"Sheet1"}</definedName>
    <definedName name="wrn.page10." hidden="1">{"page4",#N/A,FALSE,"Sheet1"}</definedName>
    <definedName name="wrn.page11" hidden="1">{"page8",#N/A,FALSE,"Sheet1"}</definedName>
    <definedName name="wrn.page15" hidden="1">{"page9",#N/A,FALSE,"Sheet1"}</definedName>
    <definedName name="wrn.page16" hidden="1">{"page1",#N/A,FALSE,"Sheet1"}</definedName>
    <definedName name="wrn.page16." hidden="1">{"page2",#N/A,FALSE,"Sheet1"}</definedName>
    <definedName name="wrn.page17." hidden="1">{"page5",#N/A,FALSE,"Sheet1"}</definedName>
    <definedName name="wrn.page2." hidden="1">{"page2",#N/A,FALSE,"Sheet1"}</definedName>
    <definedName name="wrn.page20." hidden="1">{"page3",#N/A,FALSE,"Sheet1"}</definedName>
    <definedName name="wrn.page3" hidden="1">{"page2",#N/A,FALSE,"Sheet1"}</definedName>
    <definedName name="wrn.page3." hidden="1">{"page3",#N/A,FALSE,"Sheet1"}</definedName>
    <definedName name="wrn.page4." hidden="1">{"page4",#N/A,FALSE,"Sheet1"}</definedName>
    <definedName name="wrn.page5" hidden="1">{"page4",#N/A,FALSE,"Sheet1"}</definedName>
    <definedName name="wrn.page5." hidden="1">{"page5",#N/A,FALSE,"Sheet1"}</definedName>
    <definedName name="wrn.page6" hidden="1">{"page5",#N/A,FALSE,"Sheet1"}</definedName>
    <definedName name="wrn.page6." hidden="1">{"page6",#N/A,FALSE,"Sheet1"}</definedName>
    <definedName name="wrn.page7" hidden="1">{"page6",#N/A,FALSE,"Sheet1"}</definedName>
    <definedName name="wrn.page7." hidden="1">{"page7",#N/A,FALSE,"Sheet1"}</definedName>
    <definedName name="wrn.page8" hidden="1">{"page7",#N/A,FALSE,"Sheet1"}</definedName>
    <definedName name="wrn.page8." hidden="1">{"page8",#N/A,FALSE,"Sheet1"}</definedName>
    <definedName name="wrn.page9" hidden="1">{"page8",#N/A,FALSE,"Sheet1"}</definedName>
    <definedName name="wrn.page9." hidden="1">{"page9",#N/A,FALSE,"Sheet1"}</definedName>
    <definedName name="wrn.Palms._.at._.South._.Shore." hidden="1">{#N/A,#N/A,FALSE,"loananalysis";#N/A,#N/A,FALSE,"proforma";#N/A,#N/A,FALSE,"unitmix"}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hidden="1">{#N/A,#N/A,FALSE,"1Summary";#N/A,#N/A,FALSE,"2Assumptions";#N/A,#N/A,FALSE,"3Cash Flow";#N/A,#N/A,FALSE,"6Residual";#N/A,#N/A,FALSE,"AExpiration Schedule"}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ortfolio." hidden="1">{#N/A,#N/A,FALSE,"Portfolio Summary";#N/A,#N/A,FALSE,"Portfolio Operating Stmt";#N/A,#N/A,FALSE,"Portfolio Cash Flow"}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Report.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turns." hidden="1">{"Returns1",#N/A,FALSE,"Primary Worksheet";"Returns2",#N/A,FALSE,"Primary Worksheet";"Returns3",#N/A,FALSE,"Primary Worksheet"}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Tycon._.Model." hidden="1">{"rtn",#N/A,FALSE,"RTN";"tables",#N/A,FALSE,"RTN";"cf",#N/A,FALSE,"CF";"stats",#N/A,FALSE,"Stats";"prop",#N/A,FALSE,"Prop"}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sd_rate">#REF!</definedName>
    <definedName name="wwwwwww" hidden="1">{"rtn",#N/A,FALSE,"RTN";"tables",#N/A,FALSE,"RTN";"cf",#N/A,FALSE,"CF";"stats",#N/A,FALSE,"Stats";"prop",#N/A,FALSE,"Prop"}</definedName>
    <definedName name="wwwwwwww" hidden="1">{"print 1.6",#N/A,FALSE,"Sheet1";"print 2.6",#N/A,FALSE,"Sheet1";"print 3.6",#N/A,FALSE,"Sheet1";"print 4.6",#N/A,FALSE,"Sheet1";"print 5.6",#N/A,FALSE,"Sheet1";"print 6.6",#N/A,FALSE,"Sheet1"}</definedName>
    <definedName name="wwwwwwwww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wwwwwwwwwwww" hidden="1">{"print 1.6",#N/A,FALSE,"Sheet1";"print 2.6",#N/A,FALSE,"Sheet1";"print 3.6",#N/A,FALSE,"Sheet1";"print 4.6",#N/A,FALSE,"Sheet1";"print 5.6",#N/A,FALSE,"Sheet1";"print 6.6",#N/A,FALSE,"Sheet1"}</definedName>
    <definedName name="xcv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xxxxxxxxx" hidden="1">{"Outflow 1",#N/A,FALSE,"Outflows-Inflows";"Outflow 2",#N/A,FALSE,"Outflows-Inflows";"Inflow 1",#N/A,FALSE,"Outflows-Inflows";"Inflow 2",#N/A,FALSE,"Outflows-Inflows"}</definedName>
    <definedName name="xxxxxxxxxxx" hidden="1">{"FOschedule1",#N/A,FALSE,"Sheet1";"FOschedule2",#N/A,FALSE,"Sheet1";"FOschedule3",#N/A,FALSE,"Sheet1"}</definedName>
    <definedName name="xxxxxxxxxxxxx" hidden="1">{"rtn",#N/A,FALSE,"RTN";"tables",#N/A,FALSE,"RTN";"cf",#N/A,FALSE,"CF";"stats",#N/A,FALSE,"Stats";"prop",#N/A,FALSE,"Prop"}</definedName>
    <definedName name="xxxxxxxxxxxxxx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xyz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yyyyyyyyyyyyyyy" hidden="1">{"assume",#N/A,FALSE,"K&amp;20th Month CF";"MoCF",#N/A,FALSE,"K&amp;20th Month CF";"AnCF",#N/A,FALSE,"K&amp;20th Month CF"}</definedName>
    <definedName name="zxc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zzzzzz" hidden="1">{"print 1.6",#N/A,FALSE,"Sheet1";"print 2.6",#N/A,FALSE,"Sheet1";"print 3.6",#N/A,FALSE,"Sheet1";"print 4.6",#N/A,FALSE,"Sheet1";"print 5.6",#N/A,FALSE,"Sheet1";"print 6.6",#N/A,FALSE,"Sheet1"}</definedName>
    <definedName name="zzzzzzzzzzzzzzz" hidden="1">{"print 1.6",#N/A,FALSE,"Sheet1";"print 2.6",#N/A,FALSE,"Sheet1";"print 3.6",#N/A,FALSE,"Sheet1";"print 4.6",#N/A,FALSE,"Sheet1";"print 5.6",#N/A,FALSE,"Sheet1";"print 6.6",#N/A,FALSE,"Sheet1"}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" i="10" l="1"/>
  <c r="Q80" i="10"/>
  <c r="Q81" i="10"/>
  <c r="Q82" i="10"/>
  <c r="Q83" i="10"/>
  <c r="Q84" i="10"/>
  <c r="M51" i="10"/>
  <c r="L51" i="10"/>
  <c r="K51" i="10"/>
  <c r="J51" i="10"/>
  <c r="I128" i="7"/>
  <c r="I129" i="7"/>
  <c r="I115" i="7"/>
  <c r="I116" i="7"/>
  <c r="I117" i="7"/>
  <c r="I118" i="7"/>
  <c r="I119" i="7"/>
  <c r="I120" i="7"/>
  <c r="D125" i="7"/>
  <c r="E35" i="7" l="1"/>
  <c r="C56" i="7"/>
  <c r="E56" i="7" s="1"/>
  <c r="D56" i="7"/>
  <c r="D53" i="7"/>
  <c r="E53" i="7" s="1"/>
  <c r="D51" i="7"/>
  <c r="D52" i="7"/>
  <c r="E52" i="7" s="1"/>
  <c r="D50" i="7"/>
  <c r="E50" i="7" s="1"/>
  <c r="E31" i="7"/>
  <c r="P61" i="11" l="1"/>
  <c r="K68" i="10" l="1"/>
  <c r="K67" i="10"/>
  <c r="K66" i="10"/>
  <c r="K65" i="10"/>
  <c r="K64" i="10"/>
  <c r="K63" i="10"/>
  <c r="K62" i="10"/>
  <c r="H4" i="10" l="1"/>
  <c r="F26" i="10" l="1"/>
  <c r="B106" i="7" l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D35" i="7"/>
  <c r="V70" i="7"/>
  <c r="V72" i="7" s="1"/>
  <c r="V73" i="7" s="1"/>
  <c r="Y69" i="7"/>
  <c r="Z71" i="7" s="1"/>
  <c r="Y62" i="7"/>
  <c r="Z62" i="7" s="1"/>
  <c r="Z63" i="7" s="1"/>
  <c r="V62" i="7"/>
  <c r="W62" i="7" s="1"/>
  <c r="W63" i="7" s="1"/>
  <c r="W64" i="7" s="1"/>
  <c r="Z64" i="7"/>
  <c r="Z65" i="7" l="1"/>
  <c r="Z66" i="7" s="1"/>
  <c r="AD66" i="7" s="1"/>
  <c r="Z69" i="7"/>
  <c r="Z70" i="7" s="1"/>
  <c r="Z72" i="7" s="1"/>
  <c r="Z73" i="7" s="1"/>
  <c r="W65" i="7"/>
  <c r="V64" i="7"/>
  <c r="V65" i="7" s="1"/>
  <c r="Z77" i="7" l="1"/>
  <c r="Z75" i="7"/>
  <c r="O29" i="7" l="1"/>
  <c r="O28" i="7"/>
  <c r="O27" i="7"/>
  <c r="D31" i="7"/>
  <c r="O31" i="7" s="1"/>
  <c r="C32" i="7"/>
  <c r="O32" i="7" s="1"/>
  <c r="O35" i="7"/>
  <c r="N30" i="7"/>
  <c r="N33" i="7" s="1"/>
  <c r="N37" i="7" s="1"/>
  <c r="M30" i="7"/>
  <c r="M33" i="7" s="1"/>
  <c r="M37" i="7" s="1"/>
  <c r="L30" i="7"/>
  <c r="L33" i="7" s="1"/>
  <c r="L37" i="7" s="1"/>
  <c r="K30" i="7"/>
  <c r="K33" i="7" s="1"/>
  <c r="K37" i="7" s="1"/>
  <c r="J30" i="7"/>
  <c r="J33" i="7" s="1"/>
  <c r="J37" i="7" s="1"/>
  <c r="I30" i="7"/>
  <c r="I33" i="7" s="1"/>
  <c r="I37" i="7" s="1"/>
  <c r="H30" i="7"/>
  <c r="H33" i="7" s="1"/>
  <c r="H37" i="7" s="1"/>
  <c r="G30" i="7"/>
  <c r="G33" i="7" s="1"/>
  <c r="G37" i="7" s="1"/>
  <c r="F30" i="7"/>
  <c r="F33" i="7" s="1"/>
  <c r="F37" i="7" s="1"/>
  <c r="E30" i="7"/>
  <c r="E33" i="7" s="1"/>
  <c r="E37" i="7" s="1"/>
  <c r="D30" i="7"/>
  <c r="C30" i="7"/>
  <c r="C33" i="7" l="1"/>
  <c r="C37" i="7" s="1"/>
  <c r="D33" i="7"/>
  <c r="D37" i="7" s="1"/>
  <c r="O30" i="7"/>
  <c r="O33" i="7" s="1"/>
  <c r="O37" i="7" s="1"/>
  <c r="N44" i="7"/>
  <c r="N45" i="7" s="1"/>
  <c r="M44" i="7"/>
  <c r="M45" i="7" s="1"/>
  <c r="L44" i="7"/>
  <c r="L45" i="7" s="1"/>
  <c r="K44" i="7"/>
  <c r="K45" i="7" s="1"/>
  <c r="J44" i="7"/>
  <c r="J45" i="7" s="1"/>
  <c r="I44" i="7"/>
  <c r="I45" i="7" s="1"/>
  <c r="H44" i="7"/>
  <c r="H45" i="7" s="1"/>
  <c r="G44" i="7"/>
  <c r="G45" i="7" s="1"/>
  <c r="F44" i="7"/>
  <c r="F45" i="7" s="1"/>
  <c r="E44" i="7"/>
  <c r="E45" i="7" s="1"/>
  <c r="D44" i="7"/>
  <c r="C44" i="7"/>
  <c r="K17" i="5"/>
  <c r="L17" i="5"/>
  <c r="M17" i="5"/>
  <c r="N17" i="5"/>
  <c r="O17" i="5"/>
  <c r="P17" i="5"/>
  <c r="Q17" i="5"/>
  <c r="R17" i="5"/>
  <c r="S17" i="5"/>
  <c r="T17" i="5"/>
  <c r="J17" i="5"/>
  <c r="D75" i="11"/>
  <c r="G75" i="11" l="1"/>
  <c r="Q75" i="11"/>
  <c r="P75" i="11"/>
  <c r="D45" i="7"/>
  <c r="C45" i="7"/>
  <c r="R75" i="11"/>
  <c r="E75" i="11"/>
  <c r="T32" i="11"/>
  <c r="T36" i="11"/>
  <c r="T39" i="11"/>
  <c r="T41" i="11"/>
  <c r="T43" i="11"/>
  <c r="T23" i="11"/>
  <c r="T25" i="11"/>
  <c r="T29" i="11"/>
  <c r="T34" i="11"/>
  <c r="T42" i="11"/>
  <c r="T45" i="11"/>
  <c r="T46" i="11"/>
  <c r="T47" i="11"/>
  <c r="T49" i="11"/>
  <c r="T52" i="11"/>
  <c r="T54" i="11"/>
  <c r="T56" i="11"/>
  <c r="T61" i="11"/>
  <c r="T117" i="11"/>
  <c r="T50" i="11"/>
  <c r="T57" i="11"/>
  <c r="T59" i="11"/>
  <c r="T63" i="11"/>
  <c r="T4" i="11"/>
  <c r="T7" i="11"/>
  <c r="T55" i="11"/>
  <c r="T53" i="11"/>
  <c r="T51" i="11"/>
  <c r="T48" i="11"/>
  <c r="T38" i="11"/>
  <c r="T35" i="11"/>
  <c r="T30" i="11"/>
  <c r="T26" i="11"/>
  <c r="T22" i="11"/>
  <c r="T44" i="11"/>
  <c r="T37" i="11"/>
  <c r="T33" i="11"/>
  <c r="T28" i="11"/>
  <c r="T58" i="11"/>
  <c r="T60" i="11"/>
  <c r="T64" i="11"/>
  <c r="T10" i="11"/>
  <c r="T11" i="11"/>
  <c r="T2" i="11"/>
  <c r="T3" i="11"/>
  <c r="T8" i="11"/>
  <c r="T62" i="11"/>
  <c r="T24" i="11"/>
  <c r="T27" i="11"/>
  <c r="T31" i="11"/>
  <c r="T16" i="11"/>
  <c r="T18" i="11"/>
  <c r="T21" i="11"/>
  <c r="T12" i="11"/>
  <c r="T14" i="11"/>
  <c r="T65" i="11"/>
  <c r="T17" i="11"/>
  <c r="T19" i="11"/>
  <c r="T20" i="11"/>
  <c r="T15" i="11"/>
  <c r="T13" i="11"/>
  <c r="T40" i="11"/>
  <c r="T5" i="11"/>
  <c r="T118" i="11"/>
  <c r="T6" i="11"/>
  <c r="T9" i="11"/>
  <c r="T112" i="11"/>
  <c r="T115" i="11"/>
  <c r="T110" i="11"/>
  <c r="T113" i="11"/>
  <c r="T108" i="11"/>
  <c r="T107" i="11"/>
  <c r="T106" i="11"/>
  <c r="T103" i="11"/>
  <c r="T105" i="11"/>
  <c r="T104" i="11"/>
  <c r="T102" i="11"/>
  <c r="T111" i="11"/>
  <c r="T101" i="11"/>
  <c r="T116" i="11"/>
  <c r="T97" i="11"/>
  <c r="T109" i="11"/>
  <c r="T98" i="11"/>
  <c r="T99" i="11"/>
  <c r="T114" i="11"/>
  <c r="T95" i="11"/>
  <c r="T100" i="11"/>
  <c r="T86" i="11"/>
  <c r="T87" i="11"/>
  <c r="T93" i="11"/>
  <c r="T92" i="11"/>
  <c r="T96" i="11"/>
  <c r="T91" i="11"/>
  <c r="T84" i="11"/>
  <c r="T88" i="11"/>
  <c r="T83" i="11"/>
  <c r="T82" i="11"/>
  <c r="T81" i="11"/>
  <c r="T80" i="11"/>
  <c r="T89" i="11"/>
  <c r="T90" i="11"/>
  <c r="T78" i="11"/>
  <c r="T79" i="11"/>
  <c r="T85" i="11"/>
  <c r="T76" i="11"/>
  <c r="T71" i="11"/>
  <c r="T72" i="11"/>
  <c r="T94" i="11"/>
  <c r="T75" i="11"/>
  <c r="T69" i="11"/>
  <c r="T68" i="11"/>
  <c r="T77" i="11"/>
  <c r="T73" i="11"/>
  <c r="T74" i="11"/>
  <c r="T66" i="11"/>
  <c r="T67" i="11"/>
  <c r="T70" i="11"/>
  <c r="D2" i="11"/>
  <c r="D3" i="11"/>
  <c r="D8" i="11"/>
  <c r="D5" i="11"/>
  <c r="D111" i="11"/>
  <c r="D6" i="11"/>
  <c r="D32" i="11"/>
  <c r="D36" i="11"/>
  <c r="D39" i="11"/>
  <c r="D41" i="11"/>
  <c r="D43" i="11"/>
  <c r="D23" i="11"/>
  <c r="D25" i="11"/>
  <c r="D29" i="11"/>
  <c r="D34" i="11"/>
  <c r="D42" i="11"/>
  <c r="G42" i="11" s="1"/>
  <c r="D45" i="11"/>
  <c r="D46" i="11"/>
  <c r="D47" i="11"/>
  <c r="D49" i="11"/>
  <c r="D52" i="11"/>
  <c r="D54" i="11"/>
  <c r="D56" i="11"/>
  <c r="D61" i="11"/>
  <c r="D69" i="11"/>
  <c r="D117" i="11"/>
  <c r="D50" i="11"/>
  <c r="D57" i="11"/>
  <c r="D59" i="11"/>
  <c r="D63" i="11"/>
  <c r="D4" i="11"/>
  <c r="D7" i="11"/>
  <c r="D55" i="11"/>
  <c r="D53" i="11"/>
  <c r="D51" i="11"/>
  <c r="D48" i="11"/>
  <c r="D38" i="11"/>
  <c r="D35" i="11"/>
  <c r="D30" i="11"/>
  <c r="D26" i="11"/>
  <c r="D22" i="11"/>
  <c r="D44" i="11"/>
  <c r="D37" i="11"/>
  <c r="D33" i="11"/>
  <c r="D28" i="11"/>
  <c r="D58" i="11"/>
  <c r="D60" i="11"/>
  <c r="D64" i="11"/>
  <c r="Q64" i="11" s="1"/>
  <c r="D10" i="11"/>
  <c r="D11" i="11"/>
  <c r="D62" i="11"/>
  <c r="D24" i="11"/>
  <c r="D27" i="11"/>
  <c r="D31" i="11"/>
  <c r="D16" i="11"/>
  <c r="D18" i="11"/>
  <c r="D21" i="11"/>
  <c r="D12" i="11"/>
  <c r="D14" i="11"/>
  <c r="D65" i="11"/>
  <c r="Q65" i="11" s="1"/>
  <c r="D17" i="11"/>
  <c r="D19" i="11"/>
  <c r="D20" i="11"/>
  <c r="D15" i="11"/>
  <c r="D13" i="11"/>
  <c r="D84" i="11"/>
  <c r="D40" i="11"/>
  <c r="D118" i="11"/>
  <c r="D115" i="11"/>
  <c r="D114" i="11"/>
  <c r="D113" i="11"/>
  <c r="D112" i="11"/>
  <c r="D110" i="11"/>
  <c r="D109" i="11"/>
  <c r="D108" i="11"/>
  <c r="D107" i="11"/>
  <c r="D103" i="11"/>
  <c r="D106" i="11"/>
  <c r="D105" i="11"/>
  <c r="D104" i="11"/>
  <c r="D102" i="11"/>
  <c r="D101" i="11"/>
  <c r="D98" i="11"/>
  <c r="D99" i="11"/>
  <c r="D116" i="11"/>
  <c r="D97" i="11"/>
  <c r="D88" i="11"/>
  <c r="D96" i="11"/>
  <c r="D95" i="11"/>
  <c r="D100" i="11"/>
  <c r="D94" i="11"/>
  <c r="D89" i="11"/>
  <c r="D90" i="11"/>
  <c r="D92" i="11"/>
  <c r="D93" i="11"/>
  <c r="D91" i="11"/>
  <c r="D86" i="11"/>
  <c r="D87" i="11"/>
  <c r="D83" i="11"/>
  <c r="D85" i="11"/>
  <c r="D81" i="11"/>
  <c r="D77" i="11"/>
  <c r="D82" i="11"/>
  <c r="D78" i="11"/>
  <c r="D79" i="11"/>
  <c r="D80" i="11"/>
  <c r="D76" i="11"/>
  <c r="D72" i="11"/>
  <c r="D71" i="11"/>
  <c r="D68" i="11"/>
  <c r="D9" i="11"/>
  <c r="D66" i="11"/>
  <c r="D67" i="11"/>
  <c r="D73" i="11"/>
  <c r="D70" i="11"/>
  <c r="D74" i="11"/>
  <c r="M11" i="9"/>
  <c r="N11" i="9" s="1"/>
  <c r="R87" i="7"/>
  <c r="R89" i="7" s="1"/>
  <c r="R90" i="7" s="1"/>
  <c r="Q87" i="7"/>
  <c r="Q89" i="7" s="1"/>
  <c r="C55" i="7"/>
  <c r="C57" i="7" s="1"/>
  <c r="E51" i="7"/>
  <c r="E14" i="7"/>
  <c r="E17" i="7" s="1"/>
  <c r="E21" i="7" s="1"/>
  <c r="E38" i="7" s="1"/>
  <c r="F14" i="7"/>
  <c r="F17" i="7" s="1"/>
  <c r="G14" i="7"/>
  <c r="G17" i="7" s="1"/>
  <c r="H14" i="7"/>
  <c r="H17" i="7" s="1"/>
  <c r="I14" i="7"/>
  <c r="I17" i="7" s="1"/>
  <c r="I21" i="7" s="1"/>
  <c r="I38" i="7" s="1"/>
  <c r="J14" i="7"/>
  <c r="J17" i="7" s="1"/>
  <c r="K14" i="7"/>
  <c r="K17" i="7" s="1"/>
  <c r="L14" i="7"/>
  <c r="L17" i="7" s="1"/>
  <c r="M14" i="7"/>
  <c r="M17" i="7" s="1"/>
  <c r="N14" i="7"/>
  <c r="N17" i="7" s="1"/>
  <c r="D14" i="7"/>
  <c r="D17" i="7" s="1"/>
  <c r="C14" i="7"/>
  <c r="C17" i="7" s="1"/>
  <c r="H17" i="5"/>
  <c r="G17" i="5"/>
  <c r="E17" i="5"/>
  <c r="D17" i="5"/>
  <c r="C17" i="5"/>
  <c r="D30" i="10"/>
  <c r="Q70" i="11" l="1"/>
  <c r="R70" i="11"/>
  <c r="Q33" i="11"/>
  <c r="P33" i="11"/>
  <c r="P42" i="11"/>
  <c r="Q42" i="11"/>
  <c r="Q3" i="11"/>
  <c r="P3" i="11"/>
  <c r="Q85" i="11"/>
  <c r="P85" i="11"/>
  <c r="P116" i="11"/>
  <c r="Q116" i="11"/>
  <c r="Q99" i="11"/>
  <c r="P99" i="11"/>
  <c r="Q86" i="11"/>
  <c r="P86" i="11"/>
  <c r="Q68" i="11"/>
  <c r="P68" i="11"/>
  <c r="Q26" i="11"/>
  <c r="P26" i="11"/>
  <c r="Q23" i="11"/>
  <c r="P23" i="11"/>
  <c r="Q83" i="11"/>
  <c r="P83" i="11"/>
  <c r="Q59" i="11"/>
  <c r="P59" i="11"/>
  <c r="Q57" i="11"/>
  <c r="P57" i="11"/>
  <c r="Q98" i="11"/>
  <c r="P98" i="11"/>
  <c r="P101" i="11"/>
  <c r="Q101" i="11"/>
  <c r="P31" i="11"/>
  <c r="Q31" i="11"/>
  <c r="Q71" i="11"/>
  <c r="P71" i="11"/>
  <c r="Q93" i="11"/>
  <c r="P93" i="11"/>
  <c r="Q102" i="11"/>
  <c r="P102" i="11"/>
  <c r="Q40" i="11"/>
  <c r="P40" i="11"/>
  <c r="Q27" i="11"/>
  <c r="P27" i="11"/>
  <c r="Q30" i="11"/>
  <c r="P30" i="11"/>
  <c r="Q69" i="11"/>
  <c r="P69" i="11"/>
  <c r="Q43" i="11"/>
  <c r="P43" i="11"/>
  <c r="Q66" i="11"/>
  <c r="P66" i="11"/>
  <c r="Q73" i="11"/>
  <c r="P73" i="11"/>
  <c r="Q21" i="11"/>
  <c r="P21" i="11"/>
  <c r="Q114" i="11"/>
  <c r="P114" i="11"/>
  <c r="Q50" i="11"/>
  <c r="P50" i="11"/>
  <c r="P91" i="11"/>
  <c r="Q91" i="11"/>
  <c r="Q24" i="11"/>
  <c r="P24" i="11"/>
  <c r="Q76" i="11"/>
  <c r="P76" i="11"/>
  <c r="Q39" i="11"/>
  <c r="P39" i="11"/>
  <c r="P80" i="11"/>
  <c r="Q80" i="11"/>
  <c r="P79" i="11"/>
  <c r="Q79" i="11"/>
  <c r="Q94" i="11"/>
  <c r="P94" i="11"/>
  <c r="Q103" i="11"/>
  <c r="P103" i="11"/>
  <c r="P20" i="11"/>
  <c r="Q20" i="11"/>
  <c r="Q10" i="11"/>
  <c r="P10" i="11"/>
  <c r="Q51" i="11"/>
  <c r="P51" i="11"/>
  <c r="Q52" i="11"/>
  <c r="P52" i="11"/>
  <c r="Q32" i="11"/>
  <c r="P32" i="11"/>
  <c r="Q12" i="11"/>
  <c r="P12" i="11"/>
  <c r="Q113" i="11"/>
  <c r="P113" i="11"/>
  <c r="Q29" i="11"/>
  <c r="P29" i="11"/>
  <c r="Q22" i="11"/>
  <c r="Q104" i="11"/>
  <c r="P104" i="11"/>
  <c r="Q13" i="11"/>
  <c r="P13" i="11"/>
  <c r="Q38" i="11"/>
  <c r="P38" i="11"/>
  <c r="Q106" i="11"/>
  <c r="P106" i="11"/>
  <c r="Q48" i="11"/>
  <c r="P48" i="11"/>
  <c r="Q78" i="11"/>
  <c r="P78" i="11"/>
  <c r="Q100" i="11"/>
  <c r="P100" i="11"/>
  <c r="Q107" i="11"/>
  <c r="P107" i="11"/>
  <c r="Q19" i="11"/>
  <c r="P19" i="11"/>
  <c r="Q53" i="11"/>
  <c r="P53" i="11"/>
  <c r="Q49" i="11"/>
  <c r="P49" i="11"/>
  <c r="Q6" i="11"/>
  <c r="P6" i="11"/>
  <c r="Q67" i="11"/>
  <c r="P67" i="11"/>
  <c r="Q34" i="11"/>
  <c r="P34" i="11"/>
  <c r="Q44" i="11"/>
  <c r="P44" i="11"/>
  <c r="Q25" i="11"/>
  <c r="P25" i="11"/>
  <c r="Q72" i="11"/>
  <c r="P72" i="11"/>
  <c r="Q41" i="11"/>
  <c r="P41" i="11"/>
  <c r="Q56" i="11"/>
  <c r="P56" i="11"/>
  <c r="P89" i="11"/>
  <c r="Q89" i="11"/>
  <c r="P82" i="11"/>
  <c r="Q82" i="11"/>
  <c r="P95" i="11"/>
  <c r="Q95" i="11"/>
  <c r="Q108" i="11"/>
  <c r="P108" i="11"/>
  <c r="Q17" i="11"/>
  <c r="P17" i="11"/>
  <c r="Q60" i="11"/>
  <c r="P60" i="11"/>
  <c r="Q55" i="11"/>
  <c r="P55" i="11"/>
  <c r="Q47" i="11"/>
  <c r="P47" i="11"/>
  <c r="Q111" i="11"/>
  <c r="P111" i="11"/>
  <c r="Q112" i="11"/>
  <c r="P112" i="11"/>
  <c r="Q2" i="11"/>
  <c r="P2" i="11"/>
  <c r="P87" i="11"/>
  <c r="Q87" i="11"/>
  <c r="Q9" i="11"/>
  <c r="P9" i="11"/>
  <c r="P115" i="11"/>
  <c r="Q115" i="11"/>
  <c r="E115" i="11"/>
  <c r="Q92" i="11"/>
  <c r="P92" i="11"/>
  <c r="Q35" i="11"/>
  <c r="P35" i="11"/>
  <c r="P90" i="11"/>
  <c r="Q90" i="11"/>
  <c r="P15" i="11"/>
  <c r="Q15" i="11"/>
  <c r="Q36" i="11"/>
  <c r="P36" i="11"/>
  <c r="P74" i="11"/>
  <c r="Q74" i="11"/>
  <c r="P77" i="11"/>
  <c r="Q77" i="11"/>
  <c r="Q96" i="11"/>
  <c r="P96" i="11"/>
  <c r="Q109" i="11"/>
  <c r="P109" i="11"/>
  <c r="Q58" i="11"/>
  <c r="P58" i="11"/>
  <c r="Q7" i="11"/>
  <c r="P7" i="11"/>
  <c r="Q46" i="11"/>
  <c r="P46" i="11"/>
  <c r="P5" i="11"/>
  <c r="Q5" i="11"/>
  <c r="Q97" i="11"/>
  <c r="P97" i="11"/>
  <c r="Q37" i="11"/>
  <c r="P37" i="11"/>
  <c r="Q18" i="11"/>
  <c r="P18" i="11"/>
  <c r="Q16" i="11"/>
  <c r="P16" i="11"/>
  <c r="Q84" i="11"/>
  <c r="P84" i="11"/>
  <c r="Q105" i="11"/>
  <c r="P105" i="11"/>
  <c r="P11" i="11"/>
  <c r="Q11" i="11"/>
  <c r="Q54" i="11"/>
  <c r="P54" i="11"/>
  <c r="Q81" i="11"/>
  <c r="P81" i="11"/>
  <c r="Q88" i="11"/>
  <c r="P88" i="11"/>
  <c r="P110" i="11"/>
  <c r="Q110" i="11"/>
  <c r="Q14" i="11"/>
  <c r="P14" i="11"/>
  <c r="Q28" i="11"/>
  <c r="P28" i="11"/>
  <c r="P4" i="11"/>
  <c r="Q4" i="11"/>
  <c r="P45" i="11"/>
  <c r="Q45" i="11"/>
  <c r="Q8" i="11"/>
  <c r="P8" i="11"/>
  <c r="J52" i="10"/>
  <c r="R107" i="11"/>
  <c r="G107" i="11"/>
  <c r="E107" i="11"/>
  <c r="G82" i="11"/>
  <c r="E82" i="11"/>
  <c r="R82" i="11"/>
  <c r="E5" i="11"/>
  <c r="R5" i="11"/>
  <c r="G5" i="11"/>
  <c r="R8" i="11"/>
  <c r="G8" i="11"/>
  <c r="E8" i="11"/>
  <c r="R85" i="11"/>
  <c r="E85" i="11"/>
  <c r="G85" i="11"/>
  <c r="G83" i="11"/>
  <c r="E83" i="11"/>
  <c r="R83" i="11"/>
  <c r="E59" i="11"/>
  <c r="R59" i="11"/>
  <c r="G59" i="11"/>
  <c r="G34" i="11"/>
  <c r="E34" i="11"/>
  <c r="R34" i="11"/>
  <c r="R2" i="11"/>
  <c r="G2" i="11"/>
  <c r="E2" i="11"/>
  <c r="R100" i="11"/>
  <c r="G100" i="11"/>
  <c r="E100" i="11"/>
  <c r="G55" i="11"/>
  <c r="E55" i="11"/>
  <c r="R55" i="11"/>
  <c r="G58" i="11"/>
  <c r="E58" i="11"/>
  <c r="R58" i="11"/>
  <c r="G4" i="11"/>
  <c r="E4" i="11"/>
  <c r="R4" i="11"/>
  <c r="G97" i="11"/>
  <c r="E97" i="11"/>
  <c r="R97" i="11"/>
  <c r="G113" i="11"/>
  <c r="E113" i="11"/>
  <c r="R113" i="11"/>
  <c r="G21" i="11"/>
  <c r="R21" i="11"/>
  <c r="E21" i="11"/>
  <c r="R66" i="11"/>
  <c r="G66" i="11"/>
  <c r="E66" i="11"/>
  <c r="R87" i="11"/>
  <c r="E87" i="11"/>
  <c r="G87" i="11"/>
  <c r="G99" i="11"/>
  <c r="E99" i="11"/>
  <c r="R99" i="11"/>
  <c r="G114" i="11"/>
  <c r="E114" i="11"/>
  <c r="R114" i="11"/>
  <c r="G18" i="11"/>
  <c r="E18" i="11"/>
  <c r="R18" i="11"/>
  <c r="E44" i="11"/>
  <c r="R44" i="11"/>
  <c r="G44" i="11"/>
  <c r="E57" i="11"/>
  <c r="R57" i="11"/>
  <c r="G57" i="11"/>
  <c r="E29" i="11"/>
  <c r="R29" i="11"/>
  <c r="G29" i="11"/>
  <c r="G64" i="11"/>
  <c r="E64" i="11"/>
  <c r="R64" i="11"/>
  <c r="R17" i="11"/>
  <c r="E17" i="11"/>
  <c r="G17" i="11"/>
  <c r="G65" i="11"/>
  <c r="R65" i="11"/>
  <c r="E65" i="11"/>
  <c r="G110" i="11"/>
  <c r="E110" i="11"/>
  <c r="R110" i="11"/>
  <c r="R3" i="11"/>
  <c r="E3" i="11"/>
  <c r="G3" i="11"/>
  <c r="G116" i="11"/>
  <c r="E116" i="11"/>
  <c r="R116" i="11"/>
  <c r="E37" i="11"/>
  <c r="R37" i="11"/>
  <c r="G37" i="11"/>
  <c r="G9" i="11"/>
  <c r="E9" i="11"/>
  <c r="R9" i="11"/>
  <c r="R86" i="11"/>
  <c r="G86" i="11"/>
  <c r="E86" i="11"/>
  <c r="G98" i="11"/>
  <c r="E98" i="11"/>
  <c r="R98" i="11"/>
  <c r="G115" i="11"/>
  <c r="R115" i="11"/>
  <c r="G16" i="11"/>
  <c r="E16" i="11"/>
  <c r="R16" i="11"/>
  <c r="E22" i="11"/>
  <c r="R22" i="11"/>
  <c r="G22" i="11"/>
  <c r="E50" i="11"/>
  <c r="R50" i="11"/>
  <c r="G50" i="11"/>
  <c r="E25" i="11"/>
  <c r="R25" i="11"/>
  <c r="G25" i="11"/>
  <c r="R19" i="11"/>
  <c r="G19" i="11"/>
  <c r="E19" i="11"/>
  <c r="G47" i="11"/>
  <c r="R47" i="11"/>
  <c r="E47" i="11"/>
  <c r="G109" i="11"/>
  <c r="E109" i="11"/>
  <c r="R109" i="11"/>
  <c r="G81" i="11"/>
  <c r="E81" i="11"/>
  <c r="R81" i="11"/>
  <c r="G33" i="11"/>
  <c r="E33" i="11"/>
  <c r="R33" i="11"/>
  <c r="G68" i="11"/>
  <c r="E68" i="11"/>
  <c r="R68" i="11"/>
  <c r="R117" i="11"/>
  <c r="E117" i="11"/>
  <c r="G117" i="11"/>
  <c r="E71" i="11"/>
  <c r="R71" i="11"/>
  <c r="G71" i="11"/>
  <c r="E27" i="11"/>
  <c r="G27" i="11"/>
  <c r="R27" i="11"/>
  <c r="R30" i="11"/>
  <c r="G30" i="11"/>
  <c r="E30" i="11"/>
  <c r="G69" i="11"/>
  <c r="E69" i="11"/>
  <c r="R69" i="11"/>
  <c r="R43" i="11"/>
  <c r="E43" i="11"/>
  <c r="G43" i="11"/>
  <c r="R78" i="11"/>
  <c r="E78" i="11"/>
  <c r="G78" i="11"/>
  <c r="G60" i="11"/>
  <c r="E60" i="11"/>
  <c r="R60" i="11"/>
  <c r="G46" i="11"/>
  <c r="R46" i="11"/>
  <c r="E46" i="11"/>
  <c r="G28" i="11"/>
  <c r="E28" i="11"/>
  <c r="R28" i="11"/>
  <c r="G63" i="11"/>
  <c r="E63" i="11"/>
  <c r="R63" i="11"/>
  <c r="E31" i="11"/>
  <c r="R31" i="11"/>
  <c r="G31" i="11"/>
  <c r="R93" i="11"/>
  <c r="E93" i="11"/>
  <c r="G93" i="11"/>
  <c r="R104" i="11"/>
  <c r="G104" i="11"/>
  <c r="E104" i="11"/>
  <c r="R35" i="11"/>
  <c r="E35" i="11"/>
  <c r="G35" i="11"/>
  <c r="R61" i="11"/>
  <c r="E61" i="11"/>
  <c r="R41" i="11"/>
  <c r="E41" i="11"/>
  <c r="G41" i="11"/>
  <c r="G49" i="11"/>
  <c r="E49" i="11"/>
  <c r="R49" i="11"/>
  <c r="R95" i="11"/>
  <c r="G95" i="11"/>
  <c r="E95" i="11"/>
  <c r="E96" i="11"/>
  <c r="G96" i="11"/>
  <c r="R96" i="11"/>
  <c r="G14" i="11"/>
  <c r="R14" i="11"/>
  <c r="E14" i="11"/>
  <c r="G12" i="11"/>
  <c r="R12" i="11"/>
  <c r="E12" i="11"/>
  <c r="E118" i="11"/>
  <c r="G118" i="11"/>
  <c r="R40" i="11"/>
  <c r="G40" i="11"/>
  <c r="E40" i="11"/>
  <c r="E76" i="11"/>
  <c r="R76" i="11"/>
  <c r="G76" i="11"/>
  <c r="R38" i="11"/>
  <c r="E38" i="11"/>
  <c r="G38" i="11"/>
  <c r="R39" i="11"/>
  <c r="G39" i="11"/>
  <c r="E39" i="11"/>
  <c r="G53" i="11"/>
  <c r="R53" i="11"/>
  <c r="E53" i="11"/>
  <c r="G108" i="11"/>
  <c r="E108" i="11"/>
  <c r="R108" i="11"/>
  <c r="G7" i="11"/>
  <c r="E7" i="11"/>
  <c r="R7" i="11"/>
  <c r="G88" i="11"/>
  <c r="E88" i="11"/>
  <c r="R88" i="11"/>
  <c r="E42" i="11"/>
  <c r="R42" i="11"/>
  <c r="E91" i="11"/>
  <c r="R91" i="11"/>
  <c r="G91" i="11"/>
  <c r="E23" i="11"/>
  <c r="R23" i="11"/>
  <c r="G23" i="11"/>
  <c r="E72" i="11"/>
  <c r="R72" i="11"/>
  <c r="G72" i="11"/>
  <c r="E24" i="11"/>
  <c r="R24" i="11"/>
  <c r="G24" i="11"/>
  <c r="R13" i="11"/>
  <c r="G13" i="11"/>
  <c r="E13" i="11"/>
  <c r="R11" i="11"/>
  <c r="G11" i="11"/>
  <c r="E11" i="11"/>
  <c r="R36" i="11"/>
  <c r="E36" i="11"/>
  <c r="G36" i="11"/>
  <c r="E6" i="11"/>
  <c r="R6" i="11"/>
  <c r="G6" i="11"/>
  <c r="E111" i="11"/>
  <c r="G111" i="11"/>
  <c r="R111" i="11"/>
  <c r="R74" i="11"/>
  <c r="G74" i="11"/>
  <c r="E74" i="11"/>
  <c r="G77" i="11"/>
  <c r="E77" i="11"/>
  <c r="R77" i="11"/>
  <c r="E70" i="11"/>
  <c r="G70" i="11"/>
  <c r="G45" i="11"/>
  <c r="E45" i="11"/>
  <c r="R45" i="11"/>
  <c r="G73" i="11"/>
  <c r="R73" i="11"/>
  <c r="E73" i="11"/>
  <c r="G112" i="11"/>
  <c r="E112" i="11"/>
  <c r="R112" i="11"/>
  <c r="R67" i="11"/>
  <c r="G67" i="11"/>
  <c r="E67" i="11"/>
  <c r="E101" i="11"/>
  <c r="G101" i="11"/>
  <c r="R101" i="11"/>
  <c r="R26" i="11"/>
  <c r="E26" i="11"/>
  <c r="G26" i="11"/>
  <c r="E102" i="11"/>
  <c r="R102" i="11"/>
  <c r="G102" i="11"/>
  <c r="E92" i="11"/>
  <c r="R92" i="11"/>
  <c r="G92" i="11"/>
  <c r="G84" i="11"/>
  <c r="E84" i="11"/>
  <c r="R84" i="11"/>
  <c r="R90" i="11"/>
  <c r="E90" i="11"/>
  <c r="G90" i="11"/>
  <c r="R105" i="11"/>
  <c r="G105" i="11"/>
  <c r="E105" i="11"/>
  <c r="R62" i="11"/>
  <c r="G62" i="11"/>
  <c r="E62" i="11"/>
  <c r="R56" i="11"/>
  <c r="E56" i="11"/>
  <c r="G56" i="11"/>
  <c r="G80" i="11"/>
  <c r="E80" i="11"/>
  <c r="R80" i="11"/>
  <c r="R89" i="11"/>
  <c r="G89" i="11"/>
  <c r="E89" i="11"/>
  <c r="R106" i="11"/>
  <c r="G106" i="11"/>
  <c r="E106" i="11"/>
  <c r="R15" i="11"/>
  <c r="G15" i="11"/>
  <c r="E15" i="11"/>
  <c r="R48" i="11"/>
  <c r="E48" i="11"/>
  <c r="G48" i="11"/>
  <c r="R54" i="11"/>
  <c r="E54" i="11"/>
  <c r="G54" i="11"/>
  <c r="R79" i="11"/>
  <c r="E79" i="11"/>
  <c r="G79" i="11"/>
  <c r="G94" i="11"/>
  <c r="E94" i="11"/>
  <c r="R94" i="11"/>
  <c r="R103" i="11"/>
  <c r="G103" i="11"/>
  <c r="E103" i="11"/>
  <c r="R20" i="11"/>
  <c r="G20" i="11"/>
  <c r="E20" i="11"/>
  <c r="G10" i="11"/>
  <c r="E10" i="11"/>
  <c r="R10" i="11"/>
  <c r="G51" i="11"/>
  <c r="R51" i="11"/>
  <c r="E51" i="11"/>
  <c r="R52" i="11"/>
  <c r="E52" i="11"/>
  <c r="G52" i="11"/>
  <c r="R32" i="11"/>
  <c r="E32" i="11"/>
  <c r="G32" i="11"/>
  <c r="M50" i="10"/>
  <c r="M52" i="10" s="1"/>
  <c r="I77" i="10"/>
  <c r="I76" i="10"/>
  <c r="I75" i="10"/>
  <c r="I74" i="10"/>
  <c r="I73" i="10"/>
  <c r="I72" i="10"/>
  <c r="I52" i="10"/>
  <c r="H52" i="10"/>
  <c r="E29" i="10"/>
  <c r="F29" i="10" s="1"/>
  <c r="O43" i="7"/>
  <c r="O42" i="7"/>
  <c r="O41" i="7"/>
  <c r="O40" i="7"/>
  <c r="I127" i="7"/>
  <c r="I105" i="7"/>
  <c r="I106" i="7"/>
  <c r="I107" i="7"/>
  <c r="I108" i="7"/>
  <c r="I109" i="7"/>
  <c r="I110" i="7"/>
  <c r="I111" i="7"/>
  <c r="I112" i="7"/>
  <c r="I113" i="7"/>
  <c r="I114" i="7"/>
  <c r="I104" i="7"/>
  <c r="I103" i="7"/>
  <c r="H128" i="7"/>
  <c r="D124" i="7"/>
  <c r="D105" i="7"/>
  <c r="D104" i="7"/>
  <c r="C125" i="7"/>
  <c r="I65" i="7" s="1"/>
  <c r="B4" i="10" l="1"/>
  <c r="B7" i="10" s="1"/>
  <c r="G76" i="10"/>
  <c r="E66" i="7" s="1"/>
  <c r="D126" i="7"/>
  <c r="G75" i="10"/>
  <c r="E65" i="7" s="1"/>
  <c r="J67" i="10" a="1"/>
  <c r="J67" i="10" s="1"/>
  <c r="G77" i="10"/>
  <c r="E67" i="7" s="1"/>
  <c r="G73" i="10"/>
  <c r="E63" i="7" s="1"/>
  <c r="G72" i="10"/>
  <c r="E62" i="7" s="1"/>
  <c r="G74" i="10"/>
  <c r="E64" i="7" s="1"/>
  <c r="K64" i="7" s="1"/>
  <c r="P41" i="7"/>
  <c r="X1" i="11"/>
  <c r="X2" i="11"/>
  <c r="O44" i="7"/>
  <c r="O45" i="7" s="1"/>
  <c r="N64" i="7" l="1"/>
  <c r="H67" i="7"/>
  <c r="H66" i="7"/>
  <c r="H65" i="7"/>
  <c r="H64" i="7"/>
  <c r="H63" i="7"/>
  <c r="H62" i="7"/>
  <c r="N67" i="7" l="1"/>
  <c r="N66" i="7"/>
  <c r="N65" i="7"/>
  <c r="N63" i="7"/>
  <c r="N62" i="7"/>
  <c r="M67" i="7"/>
  <c r="M66" i="7"/>
  <c r="M65" i="7"/>
  <c r="M64" i="7"/>
  <c r="M63" i="7"/>
  <c r="M62" i="7"/>
  <c r="J62" i="7"/>
  <c r="K67" i="7"/>
  <c r="K66" i="7"/>
  <c r="K65" i="7"/>
  <c r="K63" i="7"/>
  <c r="K62" i="7"/>
  <c r="O19" i="7"/>
  <c r="D21" i="7"/>
  <c r="D38" i="7" s="1"/>
  <c r="F21" i="7"/>
  <c r="F38" i="7" s="1"/>
  <c r="G21" i="7"/>
  <c r="G38" i="7" s="1"/>
  <c r="H21" i="7"/>
  <c r="H38" i="7" s="1"/>
  <c r="J21" i="7"/>
  <c r="J38" i="7" s="1"/>
  <c r="K21" i="7"/>
  <c r="K38" i="7" s="1"/>
  <c r="L21" i="7"/>
  <c r="L38" i="7" s="1"/>
  <c r="M21" i="7"/>
  <c r="M38" i="7" s="1"/>
  <c r="N21" i="7"/>
  <c r="N38" i="7" s="1"/>
  <c r="C21" i="7"/>
  <c r="C38" i="7" s="1"/>
  <c r="D55" i="7"/>
  <c r="D57" i="7" s="1"/>
  <c r="E57" i="7" s="1"/>
  <c r="O16" i="7"/>
  <c r="O12" i="7"/>
  <c r="O13" i="7"/>
  <c r="O15" i="7"/>
  <c r="O14" i="7" l="1"/>
  <c r="O17" i="7" s="1"/>
  <c r="O21" i="7" s="1"/>
  <c r="O38" i="7" s="1"/>
  <c r="N68" i="7"/>
  <c r="O63" i="7"/>
  <c r="O66" i="7"/>
  <c r="O67" i="7"/>
  <c r="O62" i="7"/>
  <c r="K68" i="7"/>
  <c r="E54" i="7"/>
  <c r="E55" i="7" s="1"/>
  <c r="O68" i="7" l="1"/>
  <c r="C9" i="5" l="1"/>
  <c r="C28" i="5" s="1"/>
  <c r="H9" i="5"/>
  <c r="G9" i="5"/>
  <c r="E9" i="5"/>
  <c r="D9" i="5"/>
  <c r="M72" i="10" l="1"/>
  <c r="D13" i="10"/>
  <c r="I78" i="10"/>
  <c r="E4" i="10"/>
  <c r="E7" i="10" s="1"/>
  <c r="D68" i="10" a="1"/>
  <c r="D68" i="10" s="1"/>
  <c r="I68" i="10" a="1"/>
  <c r="I68" i="10" s="1"/>
  <c r="H68" i="10" a="1"/>
  <c r="H68" i="10" s="1"/>
  <c r="G68" i="10" a="1"/>
  <c r="G68" i="10" s="1"/>
  <c r="F68" i="10" a="1"/>
  <c r="F68" i="10" s="1"/>
  <c r="E68" i="10" a="1"/>
  <c r="E68" i="10" s="1"/>
  <c r="J68" i="10" a="1"/>
  <c r="J68" i="10" s="1"/>
  <c r="J66" i="10" a="1"/>
  <c r="J66" i="10" s="1"/>
  <c r="J65" i="10" a="1"/>
  <c r="J65" i="10" s="1"/>
  <c r="J64" i="10" a="1"/>
  <c r="J64" i="10" s="1"/>
  <c r="J63" i="10" a="1"/>
  <c r="J63" i="10" s="1"/>
  <c r="J62" i="10" a="1"/>
  <c r="J62" i="10" s="1"/>
  <c r="I67" i="10" a="1"/>
  <c r="I67" i="10" s="1"/>
  <c r="H67" i="10" a="1"/>
  <c r="H67" i="10" s="1"/>
  <c r="G67" i="10" a="1"/>
  <c r="G67" i="10" s="1"/>
  <c r="F67" i="10" a="1"/>
  <c r="F67" i="10" s="1"/>
  <c r="E67" i="10" a="1"/>
  <c r="E67" i="10" s="1"/>
  <c r="D67" i="10" a="1"/>
  <c r="D67" i="10" s="1"/>
  <c r="I66" i="10" a="1"/>
  <c r="I66" i="10" s="1"/>
  <c r="H66" i="10" a="1"/>
  <c r="H66" i="10" s="1"/>
  <c r="G66" i="10" a="1"/>
  <c r="G66" i="10" s="1"/>
  <c r="F66" i="10" a="1"/>
  <c r="F66" i="10" s="1"/>
  <c r="E66" i="10" a="1"/>
  <c r="E66" i="10" s="1"/>
  <c r="D66" i="10" a="1"/>
  <c r="D66" i="10" s="1"/>
  <c r="I65" i="10" a="1"/>
  <c r="I65" i="10" s="1"/>
  <c r="H65" i="10" a="1"/>
  <c r="H65" i="10" s="1"/>
  <c r="G65" i="10" a="1"/>
  <c r="G65" i="10" s="1"/>
  <c r="F65" i="10" a="1"/>
  <c r="F65" i="10" s="1"/>
  <c r="E65" i="10" a="1"/>
  <c r="E65" i="10" s="1"/>
  <c r="D65" i="10" a="1"/>
  <c r="D65" i="10" s="1"/>
  <c r="I64" i="10" a="1"/>
  <c r="I64" i="10" s="1"/>
  <c r="H64" i="10" a="1"/>
  <c r="H64" i="10" s="1"/>
  <c r="G64" i="10" a="1"/>
  <c r="G64" i="10" s="1"/>
  <c r="F64" i="10" a="1"/>
  <c r="F64" i="10" s="1"/>
  <c r="E64" i="10" a="1"/>
  <c r="E64" i="10" s="1"/>
  <c r="D64" i="10" a="1"/>
  <c r="D64" i="10" s="1"/>
  <c r="I63" i="10" a="1"/>
  <c r="I63" i="10" s="1"/>
  <c r="H63" i="10" a="1"/>
  <c r="H63" i="10" s="1"/>
  <c r="G63" i="10" a="1"/>
  <c r="G63" i="10" s="1"/>
  <c r="F63" i="10" a="1"/>
  <c r="F63" i="10" s="1"/>
  <c r="E63" i="10" a="1"/>
  <c r="E63" i="10" s="1"/>
  <c r="D63" i="10" a="1"/>
  <c r="D63" i="10" s="1"/>
  <c r="I62" i="10" a="1"/>
  <c r="I62" i="10" s="1"/>
  <c r="H62" i="10" a="1"/>
  <c r="H62" i="10" s="1"/>
  <c r="G62" i="10" a="1"/>
  <c r="G62" i="10" s="1"/>
  <c r="F62" i="10" a="1"/>
  <c r="F62" i="10" s="1"/>
  <c r="E62" i="10" a="1"/>
  <c r="E62" i="10" s="1"/>
  <c r="D62" i="10" a="1"/>
  <c r="D62" i="10" s="1"/>
  <c r="G78" i="10" l="1"/>
  <c r="N78" i="10" s="1"/>
  <c r="O77" i="10"/>
  <c r="O76" i="10"/>
  <c r="O75" i="10"/>
  <c r="O74" i="10"/>
  <c r="O73" i="10"/>
  <c r="O72" i="10"/>
  <c r="M77" i="10"/>
  <c r="M76" i="10"/>
  <c r="M75" i="10"/>
  <c r="M74" i="10"/>
  <c r="M73" i="10"/>
  <c r="E78" i="10"/>
  <c r="L78" i="10" s="1"/>
  <c r="J73" i="10"/>
  <c r="J74" i="10"/>
  <c r="J75" i="10"/>
  <c r="J76" i="10"/>
  <c r="J77" i="10"/>
  <c r="H73" i="10"/>
  <c r="H74" i="10"/>
  <c r="H75" i="10"/>
  <c r="H76" i="10"/>
  <c r="H77" i="10"/>
  <c r="K73" i="10"/>
  <c r="K74" i="10"/>
  <c r="K75" i="10"/>
  <c r="K76" i="10"/>
  <c r="K77" i="10"/>
  <c r="K72" i="10"/>
  <c r="J72" i="10"/>
  <c r="H72" i="10"/>
  <c r="F78" i="10" l="1"/>
  <c r="M78" i="10" s="1"/>
  <c r="K78" i="10"/>
  <c r="J78" i="10"/>
  <c r="H78" i="10"/>
  <c r="O78" i="10" l="1"/>
  <c r="N24" i="9"/>
  <c r="L8" i="9"/>
  <c r="M8" i="9" s="1"/>
  <c r="N8" i="9" s="1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O26" i="10"/>
  <c r="N26" i="10"/>
  <c r="M26" i="10"/>
  <c r="L26" i="10"/>
  <c r="K26" i="10"/>
  <c r="J26" i="10"/>
  <c r="I26" i="10"/>
  <c r="H26" i="10"/>
  <c r="G26" i="10"/>
  <c r="G29" i="10" s="1"/>
  <c r="E30" i="10"/>
  <c r="O23" i="10"/>
  <c r="N23" i="10"/>
  <c r="M23" i="10"/>
  <c r="L23" i="10"/>
  <c r="K23" i="10"/>
  <c r="J23" i="10"/>
  <c r="I23" i="10"/>
  <c r="H23" i="10"/>
  <c r="H24" i="10" s="1"/>
  <c r="G23" i="10"/>
  <c r="F23" i="10"/>
  <c r="E23" i="10"/>
  <c r="O22" i="10"/>
  <c r="N22" i="10"/>
  <c r="M22" i="10"/>
  <c r="L22" i="10"/>
  <c r="K22" i="10"/>
  <c r="J22" i="10"/>
  <c r="I22" i="10"/>
  <c r="H22" i="10"/>
  <c r="G22" i="10"/>
  <c r="F22" i="10"/>
  <c r="E22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P14" i="10"/>
  <c r="P15" i="10" s="1"/>
  <c r="O12" i="10"/>
  <c r="O13" i="10" s="1"/>
  <c r="N12" i="10"/>
  <c r="N13" i="10" s="1"/>
  <c r="M12" i="10"/>
  <c r="M13" i="10" s="1"/>
  <c r="L12" i="10"/>
  <c r="L13" i="10" s="1"/>
  <c r="K12" i="10"/>
  <c r="K13" i="10" s="1"/>
  <c r="J12" i="10"/>
  <c r="J13" i="10" s="1"/>
  <c r="I12" i="10"/>
  <c r="I13" i="10" s="1"/>
  <c r="H12" i="10"/>
  <c r="H13" i="10" s="1"/>
  <c r="G12" i="10"/>
  <c r="G13" i="10" s="1"/>
  <c r="F12" i="10"/>
  <c r="F13" i="10" s="1"/>
  <c r="E12" i="10"/>
  <c r="E13" i="10" s="1"/>
  <c r="C25" i="6"/>
  <c r="C33" i="6" s="1"/>
  <c r="D25" i="6"/>
  <c r="E25" i="6"/>
  <c r="F25" i="6"/>
  <c r="G25" i="6"/>
  <c r="H25" i="6"/>
  <c r="I25" i="6"/>
  <c r="J25" i="6"/>
  <c r="K25" i="6"/>
  <c r="L25" i="6"/>
  <c r="M25" i="6"/>
  <c r="N13" i="6"/>
  <c r="N14" i="6" s="1"/>
  <c r="N29" i="6"/>
  <c r="M22" i="9"/>
  <c r="L13" i="9"/>
  <c r="D26" i="10" s="1"/>
  <c r="D23" i="6"/>
  <c r="E23" i="6"/>
  <c r="F23" i="6"/>
  <c r="G23" i="6"/>
  <c r="H23" i="6"/>
  <c r="I23" i="6"/>
  <c r="J23" i="6"/>
  <c r="K23" i="6"/>
  <c r="L23" i="6"/>
  <c r="M23" i="6"/>
  <c r="C23" i="6"/>
  <c r="H4" i="6" s="1"/>
  <c r="K4" i="6" s="1"/>
  <c r="D22" i="6"/>
  <c r="E22" i="6"/>
  <c r="F22" i="6"/>
  <c r="G22" i="6"/>
  <c r="H22" i="6"/>
  <c r="I22" i="6"/>
  <c r="J22" i="6"/>
  <c r="K22" i="6"/>
  <c r="L22" i="6"/>
  <c r="M22" i="6"/>
  <c r="C22" i="6"/>
  <c r="G47" i="9"/>
  <c r="J44" i="9"/>
  <c r="H44" i="9"/>
  <c r="O30" i="9"/>
  <c r="L19" i="9"/>
  <c r="N19" i="9"/>
  <c r="M19" i="9"/>
  <c r="A18" i="9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K13" i="9"/>
  <c r="L12" i="9"/>
  <c r="K12" i="9"/>
  <c r="J12" i="9"/>
  <c r="I11" i="9"/>
  <c r="I12" i="9" s="1"/>
  <c r="K9" i="9"/>
  <c r="J9" i="9"/>
  <c r="I9" i="9"/>
  <c r="L7" i="9"/>
  <c r="K7" i="9"/>
  <c r="K14" i="9" s="1"/>
  <c r="J7" i="9"/>
  <c r="J14" i="9" s="1"/>
  <c r="A6" i="9"/>
  <c r="A7" i="9" s="1"/>
  <c r="A8" i="9" s="1"/>
  <c r="A9" i="9" s="1"/>
  <c r="A10" i="9" s="1"/>
  <c r="A11" i="9" s="1"/>
  <c r="A12" i="9" s="1"/>
  <c r="A13" i="9" s="1"/>
  <c r="A14" i="9" s="1"/>
  <c r="C18" i="6"/>
  <c r="B34" i="6"/>
  <c r="B35" i="6" s="1"/>
  <c r="L14" i="9" l="1"/>
  <c r="A35" i="9"/>
  <c r="A36" i="9"/>
  <c r="H29" i="10"/>
  <c r="I29" i="10" s="1"/>
  <c r="J29" i="10" s="1"/>
  <c r="K29" i="10" s="1"/>
  <c r="L29" i="10" s="1"/>
  <c r="M29" i="10" s="1"/>
  <c r="N29" i="10" s="1"/>
  <c r="O29" i="10" s="1"/>
  <c r="B25" i="6"/>
  <c r="C19" i="6"/>
  <c r="M24" i="10"/>
  <c r="M7" i="9"/>
  <c r="O8" i="9"/>
  <c r="P8" i="9" s="1"/>
  <c r="L24" i="10"/>
  <c r="N24" i="10"/>
  <c r="O24" i="10"/>
  <c r="E24" i="10"/>
  <c r="F24" i="10"/>
  <c r="N4" i="10" s="1"/>
  <c r="N7" i="10" s="1"/>
  <c r="G24" i="10"/>
  <c r="G19" i="10" s="1"/>
  <c r="I24" i="10"/>
  <c r="J24" i="10"/>
  <c r="K24" i="10"/>
  <c r="N12" i="9"/>
  <c r="O11" i="9"/>
  <c r="P11" i="9" s="1"/>
  <c r="N25" i="6"/>
  <c r="C26" i="6"/>
  <c r="D26" i="6" s="1"/>
  <c r="E26" i="6" s="1"/>
  <c r="F26" i="6" s="1"/>
  <c r="G26" i="6" s="1"/>
  <c r="H26" i="6" s="1"/>
  <c r="I26" i="6" s="1"/>
  <c r="J26" i="6" s="1"/>
  <c r="K26" i="6" s="1"/>
  <c r="L26" i="6" s="1"/>
  <c r="M26" i="6" s="1"/>
  <c r="P23" i="10"/>
  <c r="P26" i="10"/>
  <c r="N23" i="6"/>
  <c r="N7" i="9"/>
  <c r="N34" i="6"/>
  <c r="N35" i="6" s="1"/>
  <c r="L9" i="9"/>
  <c r="M12" i="9"/>
  <c r="Q11" i="9" l="1"/>
  <c r="R11" i="9" s="1"/>
  <c r="S11" i="9" s="1"/>
  <c r="T11" i="9" s="1"/>
  <c r="U11" i="9" s="1"/>
  <c r="V11" i="9" s="1"/>
  <c r="W11" i="9" s="1"/>
  <c r="Q8" i="9"/>
  <c r="R8" i="9" s="1"/>
  <c r="S8" i="9" s="1"/>
  <c r="T8" i="9" s="1"/>
  <c r="U8" i="9" s="1"/>
  <c r="V8" i="9" s="1"/>
  <c r="W8" i="9" s="1"/>
  <c r="A37" i="9"/>
  <c r="A38" i="9" s="1"/>
  <c r="A39" i="9" s="1"/>
  <c r="A40" i="9" s="1"/>
  <c r="A41" i="9" s="1"/>
  <c r="A42" i="9" s="1"/>
  <c r="A43" i="9" s="1"/>
  <c r="A44" i="9" s="1"/>
  <c r="A45" i="9" s="1"/>
  <c r="A46" i="9" s="1"/>
  <c r="F30" i="10"/>
  <c r="O12" i="9"/>
  <c r="C20" i="6"/>
  <c r="D18" i="6"/>
  <c r="D19" i="6" s="1"/>
  <c r="M9" i="9"/>
  <c r="O7" i="9"/>
  <c r="O19" i="9"/>
  <c r="P12" i="9"/>
  <c r="H7" i="10" l="1"/>
  <c r="A47" i="9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F45" i="9"/>
  <c r="G30" i="10"/>
  <c r="E18" i="6"/>
  <c r="E19" i="6" s="1"/>
  <c r="Q12" i="9"/>
  <c r="P19" i="9"/>
  <c r="N9" i="9"/>
  <c r="P7" i="9"/>
  <c r="B22" i="6"/>
  <c r="N22" i="6" s="1"/>
  <c r="E12" i="6"/>
  <c r="E34" i="6" s="1"/>
  <c r="E35" i="6" s="1"/>
  <c r="F12" i="6"/>
  <c r="F34" i="6" s="1"/>
  <c r="F35" i="6" s="1"/>
  <c r="G12" i="6"/>
  <c r="G34" i="6" s="1"/>
  <c r="G35" i="6" s="1"/>
  <c r="H12" i="6"/>
  <c r="H34" i="6" s="1"/>
  <c r="H35" i="6" s="1"/>
  <c r="I12" i="6"/>
  <c r="I34" i="6" s="1"/>
  <c r="I35" i="6" s="1"/>
  <c r="J12" i="6"/>
  <c r="J34" i="6" s="1"/>
  <c r="J35" i="6" s="1"/>
  <c r="K12" i="6"/>
  <c r="K34" i="6" s="1"/>
  <c r="K35" i="6" s="1"/>
  <c r="L12" i="6"/>
  <c r="L34" i="6" s="1"/>
  <c r="L35" i="6" s="1"/>
  <c r="M12" i="6"/>
  <c r="M34" i="6" s="1"/>
  <c r="M35" i="6" s="1"/>
  <c r="D12" i="6"/>
  <c r="D34" i="6" s="1"/>
  <c r="D35" i="6" s="1"/>
  <c r="C12" i="6"/>
  <c r="C34" i="6" s="1"/>
  <c r="C35" i="6" s="1"/>
  <c r="K7" i="6"/>
  <c r="H7" i="6"/>
  <c r="E7" i="6"/>
  <c r="B7" i="6"/>
  <c r="E28" i="5"/>
  <c r="G28" i="5"/>
  <c r="H28" i="5"/>
  <c r="K9" i="5"/>
  <c r="K28" i="5" s="1"/>
  <c r="L9" i="5"/>
  <c r="L28" i="5" s="1"/>
  <c r="M9" i="5"/>
  <c r="M28" i="5" s="1"/>
  <c r="N9" i="5"/>
  <c r="N28" i="5" s="1"/>
  <c r="O9" i="5"/>
  <c r="O28" i="5" s="1"/>
  <c r="P9" i="5"/>
  <c r="P28" i="5" s="1"/>
  <c r="Q9" i="5"/>
  <c r="Q28" i="5" s="1"/>
  <c r="R9" i="5"/>
  <c r="R28" i="5" s="1"/>
  <c r="S9" i="5"/>
  <c r="S28" i="5" s="1"/>
  <c r="T9" i="5"/>
  <c r="T28" i="5" s="1"/>
  <c r="J9" i="5"/>
  <c r="J28" i="5" s="1"/>
  <c r="B28" i="5"/>
  <c r="F4" i="5"/>
  <c r="F5" i="5"/>
  <c r="F6" i="5"/>
  <c r="F7" i="5"/>
  <c r="F14" i="5"/>
  <c r="F15" i="5"/>
  <c r="F16" i="5"/>
  <c r="F19" i="5"/>
  <c r="U6" i="5"/>
  <c r="U5" i="5"/>
  <c r="U7" i="5"/>
  <c r="U13" i="5"/>
  <c r="U14" i="5"/>
  <c r="U4" i="5"/>
  <c r="U17" i="5" l="1"/>
  <c r="A60" i="9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F17" i="5"/>
  <c r="F9" i="5"/>
  <c r="F28" i="5" s="1"/>
  <c r="H30" i="10"/>
  <c r="D10" i="5"/>
  <c r="U9" i="5"/>
  <c r="U28" i="5" s="1"/>
  <c r="D20" i="6"/>
  <c r="O9" i="9"/>
  <c r="Q7" i="9"/>
  <c r="Q19" i="9"/>
  <c r="R12" i="9"/>
  <c r="D28" i="5"/>
  <c r="D29" i="5" s="1"/>
  <c r="E10" i="5"/>
  <c r="E29" i="5" l="1"/>
  <c r="I30" i="10"/>
  <c r="F10" i="5"/>
  <c r="S12" i="9"/>
  <c r="R19" i="9"/>
  <c r="P9" i="9"/>
  <c r="R7" i="9"/>
  <c r="F29" i="5"/>
  <c r="J30" i="10" l="1"/>
  <c r="S7" i="9"/>
  <c r="Q9" i="9"/>
  <c r="S19" i="9"/>
  <c r="T12" i="9"/>
  <c r="I5" i="3"/>
  <c r="D68" i="7"/>
  <c r="E68" i="7"/>
  <c r="J67" i="7"/>
  <c r="G67" i="7"/>
  <c r="J66" i="7"/>
  <c r="G66" i="7"/>
  <c r="J65" i="7"/>
  <c r="G65" i="7"/>
  <c r="J64" i="7"/>
  <c r="G64" i="7"/>
  <c r="J63" i="7"/>
  <c r="G63" i="7"/>
  <c r="G62" i="7"/>
  <c r="G68" i="7" l="1"/>
  <c r="K30" i="10"/>
  <c r="J68" i="7"/>
  <c r="L68" i="7"/>
  <c r="M68" i="7"/>
  <c r="C68" i="7"/>
  <c r="I68" i="7"/>
  <c r="T19" i="9"/>
  <c r="U12" i="9"/>
  <c r="T7" i="9"/>
  <c r="R9" i="9"/>
  <c r="F68" i="7"/>
  <c r="H68" i="7"/>
  <c r="B84" i="6"/>
  <c r="B83" i="6"/>
  <c r="B81" i="6"/>
  <c r="B80" i="6"/>
  <c r="B79" i="6"/>
  <c r="G44" i="6"/>
  <c r="H44" i="6"/>
  <c r="I44" i="6"/>
  <c r="F44" i="6"/>
  <c r="L30" i="10" l="1"/>
  <c r="U7" i="9"/>
  <c r="S9" i="9"/>
  <c r="V12" i="9"/>
  <c r="U19" i="9"/>
  <c r="M29" i="6"/>
  <c r="L29" i="6"/>
  <c r="K29" i="6"/>
  <c r="J29" i="6"/>
  <c r="I29" i="6"/>
  <c r="H29" i="6"/>
  <c r="G29" i="6"/>
  <c r="F29" i="6"/>
  <c r="E29" i="6"/>
  <c r="D29" i="6"/>
  <c r="C29" i="6"/>
  <c r="B29" i="6"/>
  <c r="M14" i="6"/>
  <c r="L14" i="6"/>
  <c r="K14" i="6"/>
  <c r="J14" i="6"/>
  <c r="I14" i="6"/>
  <c r="H14" i="6"/>
  <c r="G14" i="6"/>
  <c r="F14" i="6"/>
  <c r="E14" i="6"/>
  <c r="D14" i="6"/>
  <c r="C14" i="6"/>
  <c r="B14" i="6"/>
  <c r="B20" i="6"/>
  <c r="M30" i="10" l="1"/>
  <c r="W12" i="9"/>
  <c r="W19" i="9"/>
  <c r="V19" i="9"/>
  <c r="T9" i="9"/>
  <c r="V7" i="9"/>
  <c r="N30" i="10" l="1"/>
  <c r="U9" i="9"/>
  <c r="W7" i="9"/>
  <c r="F11" i="3"/>
  <c r="V11" i="3" s="1"/>
  <c r="E11" i="3"/>
  <c r="S11" i="3" s="1"/>
  <c r="C11" i="3"/>
  <c r="AK10" i="3"/>
  <c r="AI10" i="3"/>
  <c r="AG10" i="3"/>
  <c r="AE10" i="3"/>
  <c r="AD10" i="3"/>
  <c r="AB10" i="3"/>
  <c r="AA10" i="3"/>
  <c r="Y10" i="3"/>
  <c r="X10" i="3"/>
  <c r="W10" i="3"/>
  <c r="U10" i="3"/>
  <c r="T10" i="3"/>
  <c r="R10" i="3"/>
  <c r="Q10" i="3"/>
  <c r="O10" i="3"/>
  <c r="N10" i="3"/>
  <c r="L10" i="3"/>
  <c r="K10" i="3"/>
  <c r="I10" i="3"/>
  <c r="H10" i="3"/>
  <c r="AI9" i="3"/>
  <c r="AG9" i="3"/>
  <c r="AE9" i="3"/>
  <c r="AD9" i="3"/>
  <c r="AB9" i="3"/>
  <c r="AA9" i="3"/>
  <c r="Y9" i="3"/>
  <c r="X9" i="3"/>
  <c r="W9" i="3"/>
  <c r="U9" i="3"/>
  <c r="T9" i="3"/>
  <c r="R9" i="3"/>
  <c r="Q9" i="3"/>
  <c r="O9" i="3"/>
  <c r="N9" i="3"/>
  <c r="L9" i="3"/>
  <c r="K9" i="3"/>
  <c r="I9" i="3"/>
  <c r="H9" i="3"/>
  <c r="AI8" i="3"/>
  <c r="AG8" i="3"/>
  <c r="AE8" i="3"/>
  <c r="AD8" i="3"/>
  <c r="AB8" i="3"/>
  <c r="AA8" i="3"/>
  <c r="Y8" i="3"/>
  <c r="X8" i="3"/>
  <c r="AK8" i="3" s="1"/>
  <c r="W8" i="3"/>
  <c r="U8" i="3"/>
  <c r="T8" i="3"/>
  <c r="R8" i="3"/>
  <c r="Q8" i="3"/>
  <c r="O8" i="3"/>
  <c r="N8" i="3"/>
  <c r="L8" i="3"/>
  <c r="K8" i="3"/>
  <c r="I8" i="3"/>
  <c r="H8" i="3"/>
  <c r="AI7" i="3"/>
  <c r="AG7" i="3"/>
  <c r="AE7" i="3"/>
  <c r="AD7" i="3"/>
  <c r="AB7" i="3"/>
  <c r="AA7" i="3"/>
  <c r="Y7" i="3"/>
  <c r="X7" i="3"/>
  <c r="W7" i="3"/>
  <c r="U7" i="3"/>
  <c r="T7" i="3"/>
  <c r="R7" i="3"/>
  <c r="Q7" i="3"/>
  <c r="O7" i="3"/>
  <c r="N7" i="3"/>
  <c r="L7" i="3"/>
  <c r="K7" i="3"/>
  <c r="I7" i="3"/>
  <c r="H7" i="3"/>
  <c r="AI6" i="3"/>
  <c r="AG6" i="3"/>
  <c r="AE6" i="3"/>
  <c r="AD6" i="3"/>
  <c r="AB6" i="3"/>
  <c r="AA6" i="3"/>
  <c r="Y6" i="3"/>
  <c r="X6" i="3"/>
  <c r="W6" i="3"/>
  <c r="U6" i="3"/>
  <c r="T6" i="3"/>
  <c r="R6" i="3"/>
  <c r="Q6" i="3"/>
  <c r="O6" i="3"/>
  <c r="N6" i="3"/>
  <c r="L6" i="3"/>
  <c r="K6" i="3"/>
  <c r="I6" i="3"/>
  <c r="H6" i="3"/>
  <c r="AK5" i="3"/>
  <c r="AI5" i="3"/>
  <c r="AG5" i="3"/>
  <c r="AE5" i="3"/>
  <c r="AD5" i="3"/>
  <c r="AB5" i="3"/>
  <c r="AA5" i="3"/>
  <c r="Y5" i="3"/>
  <c r="X5" i="3"/>
  <c r="W5" i="3"/>
  <c r="U5" i="3"/>
  <c r="T5" i="3"/>
  <c r="R5" i="3"/>
  <c r="Q5" i="3"/>
  <c r="O5" i="3"/>
  <c r="N5" i="3"/>
  <c r="L5" i="3"/>
  <c r="K5" i="3"/>
  <c r="H5" i="3"/>
  <c r="O11" i="3" l="1"/>
  <c r="AE11" i="3"/>
  <c r="AK7" i="3"/>
  <c r="U11" i="3"/>
  <c r="M11" i="3"/>
  <c r="X11" i="3"/>
  <c r="AC11" i="3"/>
  <c r="AD11" i="3" s="1"/>
  <c r="I11" i="3"/>
  <c r="H11" i="3" s="1"/>
  <c r="AK9" i="3"/>
  <c r="Z11" i="3"/>
  <c r="AA11" i="3" s="1"/>
  <c r="P11" i="3"/>
  <c r="AG11" i="3" s="1"/>
  <c r="W11" i="3"/>
  <c r="R11" i="3"/>
  <c r="Q11" i="3" s="1"/>
  <c r="L11" i="3"/>
  <c r="K11" i="3" s="1"/>
  <c r="AK6" i="3"/>
  <c r="AB11" i="3"/>
  <c r="P29" i="10"/>
  <c r="O30" i="10"/>
  <c r="V9" i="9"/>
  <c r="W9" i="9"/>
  <c r="O14" i="3"/>
  <c r="N11" i="3"/>
  <c r="AE14" i="3"/>
  <c r="AE13" i="3"/>
  <c r="Y11" i="3"/>
  <c r="T11" i="3"/>
  <c r="G11" i="3"/>
  <c r="X13" i="3"/>
  <c r="AK13" i="3" s="1"/>
  <c r="J11" i="3"/>
  <c r="L14" i="3" l="1"/>
  <c r="O13" i="3"/>
  <c r="AI11" i="3"/>
  <c r="C20" i="1"/>
  <c r="C18" i="1"/>
  <c r="C7" i="1"/>
  <c r="C5" i="1" l="1"/>
  <c r="D4" i="1"/>
  <c r="D6" i="1" s="1"/>
  <c r="E4" i="1" s="1"/>
  <c r="E6" i="1" s="1"/>
  <c r="F4" i="1" s="1"/>
  <c r="F6" i="1" s="1"/>
  <c r="G4" i="1" s="1"/>
  <c r="C12" i="1"/>
  <c r="C13" i="1" s="1"/>
  <c r="D11" i="1"/>
  <c r="D12" i="1" s="1"/>
  <c r="D13" i="1" s="1"/>
  <c r="D19" i="1"/>
  <c r="D21" i="1" s="1"/>
  <c r="E11" i="1" l="1"/>
  <c r="E12" i="1" s="1"/>
  <c r="E13" i="1" s="1"/>
  <c r="E19" i="1"/>
  <c r="D20" i="1"/>
  <c r="G6" i="1" l="1"/>
  <c r="H4" i="1" s="1"/>
  <c r="F11" i="1"/>
  <c r="F12" i="1" s="1"/>
  <c r="F13" i="1" s="1"/>
  <c r="E21" i="1"/>
  <c r="E20" i="1"/>
  <c r="F19" i="1"/>
  <c r="D7" i="1"/>
  <c r="G11" i="1" l="1"/>
  <c r="H11" i="1" s="1"/>
  <c r="H6" i="1"/>
  <c r="I4" i="1" s="1"/>
  <c r="E7" i="1"/>
  <c r="F21" i="1"/>
  <c r="F20" i="1"/>
  <c r="G19" i="1"/>
  <c r="G12" i="1" l="1"/>
  <c r="G13" i="1" s="1"/>
  <c r="I6" i="1"/>
  <c r="J4" i="1" s="1"/>
  <c r="I11" i="1"/>
  <c r="H12" i="1"/>
  <c r="H13" i="1" s="1"/>
  <c r="G21" i="1"/>
  <c r="G20" i="1"/>
  <c r="H19" i="1"/>
  <c r="F7" i="1"/>
  <c r="J6" i="1" l="1"/>
  <c r="K4" i="1" s="1"/>
  <c r="J11" i="1"/>
  <c r="I12" i="1"/>
  <c r="I13" i="1" s="1"/>
  <c r="G7" i="1"/>
  <c r="H21" i="1"/>
  <c r="H20" i="1"/>
  <c r="I19" i="1"/>
  <c r="K6" i="1" l="1"/>
  <c r="L4" i="1" s="1"/>
  <c r="K11" i="1"/>
  <c r="J12" i="1"/>
  <c r="J13" i="1" s="1"/>
  <c r="I21" i="1"/>
  <c r="I20" i="1"/>
  <c r="J19" i="1"/>
  <c r="H7" i="1"/>
  <c r="L6" i="1" l="1"/>
  <c r="M4" i="1" s="1"/>
  <c r="L11" i="1"/>
  <c r="K12" i="1"/>
  <c r="K13" i="1" s="1"/>
  <c r="I7" i="1"/>
  <c r="J21" i="1"/>
  <c r="J20" i="1"/>
  <c r="K19" i="1"/>
  <c r="M6" i="1" l="1"/>
  <c r="N4" i="1" s="1"/>
  <c r="N6" i="1" s="1"/>
  <c r="K21" i="1"/>
  <c r="K20" i="1"/>
  <c r="L19" i="1"/>
  <c r="J7" i="1"/>
  <c r="M11" i="1"/>
  <c r="L12" i="1"/>
  <c r="L13" i="1" s="1"/>
  <c r="N11" i="1" l="1"/>
  <c r="N12" i="1" s="1"/>
  <c r="N13" i="1" s="1"/>
  <c r="M12" i="1"/>
  <c r="M13" i="1" s="1"/>
  <c r="K7" i="1"/>
  <c r="L21" i="1"/>
  <c r="L20" i="1"/>
  <c r="M19" i="1"/>
  <c r="M21" i="1" l="1"/>
  <c r="M20" i="1"/>
  <c r="N19" i="1"/>
  <c r="L7" i="1"/>
  <c r="M7" i="1" l="1"/>
  <c r="N7" i="1"/>
  <c r="N21" i="1"/>
  <c r="N20" i="1"/>
  <c r="R10" i="5"/>
  <c r="R29" i="5"/>
  <c r="Q10" i="5"/>
  <c r="Q29" i="5"/>
  <c r="O29" i="5"/>
  <c r="O10" i="5"/>
  <c r="T10" i="5"/>
  <c r="T29" i="5"/>
  <c r="N29" i="5"/>
  <c r="N10" i="5"/>
  <c r="P10" i="5"/>
  <c r="P29" i="5"/>
  <c r="S10" i="5"/>
  <c r="S29" i="5"/>
  <c r="L10" i="5"/>
  <c r="L29" i="5"/>
  <c r="K10" i="5"/>
  <c r="K29" i="5"/>
  <c r="M10" i="5"/>
  <c r="M29" i="5"/>
  <c r="U29" i="5"/>
  <c r="J10" i="5"/>
  <c r="U10" i="5"/>
  <c r="J29" i="5"/>
  <c r="F18" i="6"/>
  <c r="F19" i="6" s="1"/>
  <c r="G18" i="6" l="1"/>
  <c r="G19" i="6" s="1"/>
  <c r="E20" i="6"/>
  <c r="H18" i="6" l="1"/>
  <c r="H19" i="6" s="1"/>
  <c r="F20" i="6"/>
  <c r="I18" i="6" l="1"/>
  <c r="I19" i="6" s="1"/>
  <c r="G20" i="6"/>
  <c r="J18" i="6" l="1"/>
  <c r="J19" i="6" s="1"/>
  <c r="H20" i="6"/>
  <c r="K18" i="6" l="1"/>
  <c r="K19" i="6" s="1"/>
  <c r="I20" i="6"/>
  <c r="L18" i="6" l="1"/>
  <c r="L19" i="6" s="1"/>
  <c r="J20" i="6"/>
  <c r="M18" i="6" l="1"/>
  <c r="M19" i="6" s="1"/>
  <c r="N26" i="6" s="1"/>
  <c r="K20" i="6"/>
  <c r="N18" i="6" l="1"/>
  <c r="N19" i="6"/>
  <c r="L20" i="6"/>
  <c r="N20" i="6" l="1"/>
  <c r="M20" i="6"/>
  <c r="E18" i="10"/>
  <c r="E19" i="10"/>
  <c r="E20" i="10" s="1"/>
  <c r="D20" i="10"/>
  <c r="D22" i="10"/>
  <c r="D24" i="10" s="1"/>
  <c r="P22" i="10"/>
  <c r="F18" i="10" l="1"/>
  <c r="F19" i="10" s="1"/>
  <c r="G18" i="10" l="1"/>
  <c r="K4" i="10"/>
  <c r="K7" i="10" s="1"/>
  <c r="F20" i="10"/>
  <c r="G20" i="10" l="1"/>
  <c r="H18" i="10"/>
  <c r="H19" i="10" s="1"/>
  <c r="H20" i="10" l="1"/>
  <c r="I18" i="10"/>
  <c r="I19" i="10" s="1"/>
  <c r="I20" i="10" l="1"/>
  <c r="J18" i="10"/>
  <c r="J19" i="10" s="1"/>
  <c r="K18" i="10" l="1"/>
  <c r="K19" i="10" s="1"/>
  <c r="J20" i="10"/>
  <c r="K20" i="10" l="1"/>
  <c r="L18" i="10"/>
  <c r="L19" i="10" s="1"/>
  <c r="M18" i="10" l="1"/>
  <c r="M19" i="10" s="1"/>
  <c r="L20" i="10"/>
  <c r="M20" i="10" l="1"/>
  <c r="N18" i="10"/>
  <c r="N19" i="10" s="1"/>
  <c r="O18" i="10" l="1"/>
  <c r="O19" i="10" s="1"/>
  <c r="N20" i="10"/>
  <c r="P18" i="10" l="1"/>
  <c r="O20" i="10"/>
  <c r="P19" i="10"/>
  <c r="P2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Saldierna</author>
  </authors>
  <commentList>
    <comment ref="G118" authorId="0" shapeId="0" xr:uid="{BAC1FEFC-D217-427E-9AEF-FD587C82ED6E}">
      <text>
        <r>
          <rPr>
            <b/>
            <sz val="9"/>
            <color indexed="81"/>
            <rFont val="Tahoma"/>
            <family val="2"/>
          </rPr>
          <t>Carlos Saldierna:</t>
        </r>
        <r>
          <rPr>
            <sz val="9"/>
            <color indexed="81"/>
            <rFont val="Tahoma"/>
            <family val="2"/>
          </rPr>
          <t xml:space="preserve">
RENEWAL IN MAY MOVING TO DIFF UNIT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<sst xmlns="http://schemas.openxmlformats.org/spreadsheetml/2006/main" count="1748" uniqueCount="842">
  <si>
    <t>% Leased</t>
  </si>
  <si>
    <t># of Leases / Month</t>
  </si>
  <si>
    <t># of Move-outs</t>
  </si>
  <si>
    <t>2026 Budget</t>
  </si>
  <si>
    <t>Beginning Occ</t>
  </si>
  <si>
    <t>Ending Occ</t>
  </si>
  <si>
    <t># of Leases / month</t>
  </si>
  <si>
    <t>Ending OCC %</t>
  </si>
  <si>
    <t>Beginning Occupied Units</t>
  </si>
  <si>
    <t>Net change in Occupied units</t>
  </si>
  <si>
    <t>Ending Occupied Units</t>
  </si>
  <si>
    <t>Annual Projection - to- Budget Occupancy</t>
  </si>
  <si>
    <t>Actual</t>
  </si>
  <si>
    <t>Budget</t>
  </si>
  <si>
    <t>Leasing Activity</t>
  </si>
  <si>
    <t># Lease - Beg of Month</t>
  </si>
  <si>
    <t># of Leases Signed in the month</t>
  </si>
  <si>
    <t># of Leases - To Date</t>
  </si>
  <si>
    <t xml:space="preserve">Occupancy </t>
  </si>
  <si>
    <t>LightHaven District West</t>
  </si>
  <si>
    <t>January 2026</t>
  </si>
  <si>
    <t>21935 Bobby Meadow</t>
  </si>
  <si>
    <t>Mallard</t>
  </si>
  <si>
    <t>7307 Leighton Meadow</t>
  </si>
  <si>
    <t>7415 Hadley Meadow</t>
  </si>
  <si>
    <t>Original Proforma</t>
  </si>
  <si>
    <t>April 2025</t>
  </si>
  <si>
    <t>July 2025</t>
  </si>
  <si>
    <t>Market Rents</t>
  </si>
  <si>
    <t>Bridge Loan Proforma
2026</t>
  </si>
  <si>
    <t>Effective Rents
(Market Rents + Concessions)</t>
  </si>
  <si>
    <t xml:space="preserve">2025 RPM Budget </t>
  </si>
  <si>
    <t>as of 10/2025</t>
  </si>
  <si>
    <t>Floorplan</t>
  </si>
  <si>
    <t>Floorplan ID #</t>
  </si>
  <si>
    <t>SF</t>
  </si>
  <si>
    <t>Bdrms</t>
  </si>
  <si>
    <t># 
Units</t>
  </si>
  <si>
    <t># 
Leased</t>
  </si>
  <si>
    <t>Original Rents</t>
  </si>
  <si>
    <t>Original Rents 
PSF</t>
  </si>
  <si>
    <t>Proforma Rents Annualized</t>
  </si>
  <si>
    <t>Updated*  
Rents</t>
  </si>
  <si>
    <t>Updated* Rents PSF</t>
  </si>
  <si>
    <t>Updated* Rents Annualized</t>
  </si>
  <si>
    <t>August '25 Avg Mkt Rents</t>
  </si>
  <si>
    <t>August '25 Mkt Rents PSF</t>
  </si>
  <si>
    <t>August '25 Mkt Rents Annualized</t>
  </si>
  <si>
    <t>Market Rents PSF</t>
  </si>
  <si>
    <t>Market Rents Annualized</t>
  </si>
  <si>
    <t>BL Market Rents</t>
  </si>
  <si>
    <t>BL - Rents
PSF</t>
  </si>
  <si>
    <t>BL - Rents Annualized</t>
  </si>
  <si>
    <t>Current Effective Rents</t>
  </si>
  <si>
    <t>Current Effective 
Rents PSF</t>
  </si>
  <si>
    <t>Effective Rents Annualized</t>
  </si>
  <si>
    <t>Market -Effective Rent Delta</t>
  </si>
  <si>
    <t>Avg Eff Rent</t>
  </si>
  <si>
    <t>Eff Rent PSF</t>
  </si>
  <si>
    <t>Eff Rents Annualized</t>
  </si>
  <si>
    <t>Bridge Loan to Market Assumption Delta</t>
  </si>
  <si>
    <t>Eff Rent - Refi Rent Delta</t>
  </si>
  <si>
    <t>Canary</t>
  </si>
  <si>
    <t>THA / TH1</t>
  </si>
  <si>
    <t>2/2.5</t>
  </si>
  <si>
    <t>Sparrow</t>
  </si>
  <si>
    <t>THE / TH2</t>
  </si>
  <si>
    <t>THB / TH3</t>
  </si>
  <si>
    <t>3/2.5</t>
  </si>
  <si>
    <t>Raven</t>
  </si>
  <si>
    <t>THF / TH4</t>
  </si>
  <si>
    <t>Falcon</t>
  </si>
  <si>
    <t>THC / TH5</t>
  </si>
  <si>
    <t>Phoenix</t>
  </si>
  <si>
    <t xml:space="preserve">THD / TH6 </t>
  </si>
  <si>
    <t>4/2.5</t>
  </si>
  <si>
    <t xml:space="preserve">TOTAL </t>
  </si>
  <si>
    <t>% Chg July / April</t>
  </si>
  <si>
    <t>Annualized Effective Rents</t>
  </si>
  <si>
    <t>With Proj. Concessions:</t>
  </si>
  <si>
    <t>% Chg July / Eff Rent</t>
  </si>
  <si>
    <t>% Chg  - Orig</t>
  </si>
  <si>
    <t>% Chg - Orig</t>
  </si>
  <si>
    <t>* Per April 2025 Monthly Report</t>
  </si>
  <si>
    <t>% 
Leased</t>
  </si>
  <si>
    <t># 
Avail</t>
  </si>
  <si>
    <t>NOI</t>
  </si>
  <si>
    <t>Total Leads</t>
  </si>
  <si>
    <t>Tours</t>
  </si>
  <si>
    <t>Prospects</t>
  </si>
  <si>
    <t>Applications</t>
  </si>
  <si>
    <t>Leases</t>
  </si>
  <si>
    <t>Apps</t>
  </si>
  <si>
    <t>Top Lead Sources</t>
  </si>
  <si>
    <t>Google Business</t>
  </si>
  <si>
    <t>Zillow</t>
  </si>
  <si>
    <t>Google Paid Search</t>
  </si>
  <si>
    <t>RentCafe</t>
  </si>
  <si>
    <t>KPIs</t>
  </si>
  <si>
    <t>60% or higher</t>
  </si>
  <si>
    <t>25% or higher</t>
  </si>
  <si>
    <t>Tour &gt;App</t>
  </si>
  <si>
    <t>35% or higher</t>
  </si>
  <si>
    <t>Commentary</t>
  </si>
  <si>
    <t>Our current marketing monthly spend is $10,920 with a strong continued focus on our digital platorform.  In Q4, most leases were driven by Google channels, include GBP, Google Search and the property website, reinforcing the importance of maintaining a strong presence across Google's channels.  We continue to see this trend continue into 2026 with the website being the top lead generator. When looking into the website sources/mediums, Google organic search, paid search and direct traffic were the strongest.</t>
  </si>
  <si>
    <t>4 Weeks Free – Canary (Must move in by 2/28)</t>
  </si>
  <si>
    <t>6 Weeks Free – Sparrow (Must move in by 2/28)</t>
  </si>
  <si>
    <t>8 Weeks Free – All 3- and 4-bedroom floor plans (Must move in by 2/28)</t>
  </si>
  <si>
    <t>Proposed leasing specials below were approved:</t>
  </si>
  <si>
    <r>
      <t>o</t>
    </r>
    <r>
      <rPr>
        <sz val="10"/>
        <color rgb="FF000000"/>
        <rFont val="Times New Roman"/>
        <family val="1"/>
      </rPr>
      <t xml:space="preserve">        </t>
    </r>
    <r>
      <rPr>
        <sz val="10"/>
        <color rgb="FF000000"/>
        <rFont val="Aptos"/>
        <family val="2"/>
      </rPr>
      <t>8 Weeks Free – Raven, Falcon, and Phoenix (Must move in by 3/15 ); 4 Weeks Free if move-in after 3/15</t>
    </r>
  </si>
  <si>
    <t>Bedrooms</t>
  </si>
  <si>
    <t>Unit Count</t>
  </si>
  <si>
    <t>Unit SF</t>
  </si>
  <si>
    <t>Units Occupied</t>
  </si>
  <si>
    <t xml:space="preserve">% 
Occupied </t>
  </si>
  <si>
    <t>Market 
$/ SF</t>
  </si>
  <si>
    <t>Effective
Rent</t>
  </si>
  <si>
    <t>Effective 
$/ SF</t>
  </si>
  <si>
    <t>TOTAL / AVERAGE</t>
  </si>
  <si>
    <t>Total Visits</t>
  </si>
  <si>
    <t>Internal Proforma</t>
  </si>
  <si>
    <t xml:space="preserve">Budget </t>
  </si>
  <si>
    <t>LEASING PACE</t>
  </si>
  <si>
    <t xml:space="preserve">Pace has kept strong  from Q4 2025 into the new year.  Although traffic has slowed down, our conversions have increased with an 83% conversion from Apps to Leases </t>
  </si>
  <si>
    <t>LEASING SUMMARY</t>
  </si>
  <si>
    <t>Cancels</t>
  </si>
  <si>
    <t>Denials</t>
  </si>
  <si>
    <t>Net Leases</t>
  </si>
  <si>
    <t>Qty</t>
  </si>
  <si>
    <t>Conversion %</t>
  </si>
  <si>
    <t>RENT REVIEW</t>
  </si>
  <si>
    <t>OCCUPANCY BY MONTH</t>
  </si>
  <si>
    <t>Proforma</t>
  </si>
  <si>
    <t>Market</t>
  </si>
  <si>
    <t>Effective (Actual)</t>
  </si>
  <si>
    <t>SUMMARY BY FLOORPLAN</t>
  </si>
  <si>
    <t>TOP LEAD SOURCES</t>
  </si>
  <si>
    <t>Prospects&gt;Tours</t>
  </si>
  <si>
    <t>CURRENT INCENTIVES</t>
  </si>
  <si>
    <r>
      <t>Current Leasing Incentives:</t>
    </r>
    <r>
      <rPr>
        <b/>
        <sz val="10.5"/>
        <color rgb="FF000000"/>
        <rFont val="Aptos"/>
        <family val="2"/>
      </rPr>
      <t> </t>
    </r>
  </si>
  <si>
    <t>Property Website</t>
  </si>
  <si>
    <t>Locator/Realtor</t>
  </si>
  <si>
    <t>Drive By</t>
  </si>
  <si>
    <t>LEASING BY PHASE</t>
  </si>
  <si>
    <t>RENTS</t>
  </si>
  <si>
    <t>Market 
Rent</t>
  </si>
  <si>
    <t>MARKETING PERFORMANCE</t>
  </si>
  <si>
    <t>Lead&gt;Prosp.</t>
  </si>
  <si>
    <t>Actual, monthly</t>
  </si>
  <si>
    <t>Budget, monthly</t>
  </si>
  <si>
    <t xml:space="preserve">for the month.  We netted 7 new move-ins adding in January and signed 7 new leases, bring total leases to 4 (39.3%). </t>
  </si>
  <si>
    <t>Week 1</t>
  </si>
  <si>
    <t>12/29 -1/4</t>
  </si>
  <si>
    <t>2026 Traffic Tracking Sheet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</si>
  <si>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</si>
  <si>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</si>
  <si>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</si>
  <si>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</si>
  <si>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</si>
  <si>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</si>
  <si>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</si>
  <si>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</si>
  <si>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</si>
  <si>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</si>
  <si>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</si>
  <si>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</si>
  <si>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</si>
  <si>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</si>
  <si>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</si>
  <si>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</si>
  <si>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1/5 - 1/11</t>
  </si>
  <si>
    <t>1/12-1/18</t>
  </si>
  <si>
    <t>1/19-1/25</t>
  </si>
  <si>
    <t>Website</t>
  </si>
  <si>
    <t>Apt list</t>
  </si>
  <si>
    <t>Direct mailer</t>
  </si>
  <si>
    <t>Locaters</t>
  </si>
  <si>
    <t>Total</t>
  </si>
  <si>
    <t>Prospect</t>
  </si>
  <si>
    <t>Banners/Signage</t>
  </si>
  <si>
    <t>Knock</t>
  </si>
  <si>
    <t>Google Biz</t>
  </si>
  <si>
    <t>TOTALS</t>
  </si>
  <si>
    <t>conversions</t>
  </si>
  <si>
    <t>Executed Leases To Date</t>
  </si>
  <si>
    <t># of Units</t>
  </si>
  <si>
    <t xml:space="preserve"> Lease-Up / Inventory Template</t>
  </si>
  <si>
    <t>Occupancy</t>
  </si>
  <si>
    <t>Future Occupancy</t>
  </si>
  <si>
    <t>Remaining Inventory</t>
  </si>
  <si>
    <t>Proforma Rent per Unit</t>
  </si>
  <si>
    <t>Avg. Rent / Unit</t>
  </si>
  <si>
    <t>For the Month</t>
  </si>
  <si>
    <t>Year to Date</t>
  </si>
  <si>
    <t>Comments:</t>
  </si>
  <si>
    <t>Beginning</t>
  </si>
  <si>
    <t>Move-ins</t>
  </si>
  <si>
    <t>Move-Outs</t>
  </si>
  <si>
    <r>
      <t>o</t>
    </r>
    <r>
      <rPr>
        <sz val="10.5"/>
        <color rgb="FF000000"/>
        <rFont val="Times New Roman"/>
        <family val="1"/>
      </rPr>
      <t xml:space="preserve">        </t>
    </r>
    <r>
      <rPr>
        <sz val="10.5"/>
        <color rgb="FF000000"/>
        <rFont val="Aptos"/>
        <family val="2"/>
      </rPr>
      <t>4 Weeks Free – Canary (Must move in by 3/15); 2 Weeks Free if move-in is after 3/15</t>
    </r>
  </si>
  <si>
    <r>
      <t>o</t>
    </r>
    <r>
      <rPr>
        <sz val="10.5"/>
        <color rgb="FF000000"/>
        <rFont val="Times New Roman"/>
        <family val="1"/>
      </rPr>
      <t xml:space="preserve">        </t>
    </r>
    <r>
      <rPr>
        <sz val="10.5"/>
        <color rgb="FF000000"/>
        <rFont val="Aptos"/>
        <family val="2"/>
      </rPr>
      <t>8 Weeks Free – Sparrow (Must move in by 3/15); 4 Weeks Free if move-in is after 3/15</t>
    </r>
  </si>
  <si>
    <r>
      <t>o</t>
    </r>
    <r>
      <rPr>
        <sz val="10.5"/>
        <color rgb="FF000000"/>
        <rFont val="Times New Roman"/>
        <family val="1"/>
      </rPr>
      <t xml:space="preserve">        </t>
    </r>
    <r>
      <rPr>
        <sz val="10.5"/>
        <color rgb="FF000000"/>
        <rFont val="Aptos"/>
        <family val="2"/>
      </rPr>
      <t>4 Weeks Free – Mallard (Must move in by 3/15); 2 Weeks Free if move-in is after 3/15</t>
    </r>
  </si>
  <si>
    <t>Actual + Projected</t>
  </si>
  <si>
    <t xml:space="preserve">Ending OCC </t>
  </si>
  <si>
    <t>Favorable/(Unfav)</t>
  </si>
  <si>
    <t>Phase 1</t>
  </si>
  <si>
    <t>Complete</t>
  </si>
  <si>
    <t>T/O Date</t>
  </si>
  <si>
    <t>Phase 2</t>
  </si>
  <si>
    <t>Phase 3</t>
  </si>
  <si>
    <t>Phase 4</t>
  </si>
  <si>
    <t>Phase 5</t>
  </si>
  <si>
    <t>Phase 6</t>
  </si>
  <si>
    <t xml:space="preserve">Total </t>
  </si>
  <si>
    <t>8/8</t>
  </si>
  <si>
    <t>Total Units / Phase</t>
  </si>
  <si>
    <t>Units / Plan</t>
  </si>
  <si>
    <t>2/2</t>
  </si>
  <si>
    <t>16/16</t>
  </si>
  <si>
    <t>LIGHTHAVEN</t>
  </si>
  <si>
    <t>A</t>
  </si>
  <si>
    <t xml:space="preserve">LEASING STATUS </t>
  </si>
  <si>
    <t>B</t>
  </si>
  <si>
    <t>LEASED - NOT MOVED IN</t>
  </si>
  <si>
    <t>RESIDENT NAME</t>
  </si>
  <si>
    <t>MOVE IN DATE:</t>
  </si>
  <si>
    <t>PLAN TYPE</t>
  </si>
  <si>
    <t>Erica Gutierrez</t>
  </si>
  <si>
    <t>22019 Ferguson Meadow Ln</t>
  </si>
  <si>
    <t>Mahdi Ramazani</t>
  </si>
  <si>
    <t>A- Sparrow</t>
  </si>
  <si>
    <t xml:space="preserve">Actual </t>
  </si>
  <si>
    <t>21914 Ferguson Meadow Lane</t>
  </si>
  <si>
    <t>Audrey Smith</t>
  </si>
  <si>
    <t>Beg Occ</t>
  </si>
  <si>
    <t>Samantha Ogembo</t>
  </si>
  <si>
    <t>Britany Buchanan</t>
  </si>
  <si>
    <t>OCC %</t>
  </si>
  <si>
    <t>Chidimma Onyedebelu</t>
  </si>
  <si>
    <t>% OCC</t>
  </si>
  <si>
    <t>LEASED - MOVED IN</t>
  </si>
  <si>
    <t>22015 Ferguson Meadow Lane</t>
  </si>
  <si>
    <t>A.2</t>
  </si>
  <si>
    <t>22026 Ferguson Meadow Lane</t>
  </si>
  <si>
    <t>E.1</t>
  </si>
  <si>
    <t>22037 Lesley Grove Lane</t>
  </si>
  <si>
    <t>E.2</t>
  </si>
  <si>
    <t>22014 Ferguson Meadow Lane</t>
  </si>
  <si>
    <t>B.1</t>
  </si>
  <si>
    <t>22030 Ferguson Meadow Lane</t>
  </si>
  <si>
    <t>22018 Ferguson Meadow Lane</t>
  </si>
  <si>
    <t>Projected Occ, Actual  to Budget</t>
  </si>
  <si>
    <t xml:space="preserve">22045 Lesley Grove Lane </t>
  </si>
  <si>
    <t xml:space="preserve">22002 Ferguson Meadow Lane </t>
  </si>
  <si>
    <t>22034 Ferguson Meadow Lane</t>
  </si>
  <si>
    <t xml:space="preserve">22026 Lesley Grove Lane </t>
  </si>
  <si>
    <t>D</t>
  </si>
  <si>
    <t>22027 Ferguson Meadow Lane</t>
  </si>
  <si>
    <t>21917 Bruce Rushing Lane</t>
  </si>
  <si>
    <t>L. Jeffrey</t>
  </si>
  <si>
    <t>7/18/205</t>
  </si>
  <si>
    <t xml:space="preserve">22038 Ferguson Meadow Lane </t>
  </si>
  <si>
    <t>21938 Bobby Meadow Lane</t>
  </si>
  <si>
    <t>Y Posadas</t>
  </si>
  <si>
    <t>22023 Ferguson Meadow Lane</t>
  </si>
  <si>
    <t>F</t>
  </si>
  <si>
    <t xml:space="preserve">22041 Lesley Grove </t>
  </si>
  <si>
    <t xml:space="preserve">22033 Lesley Grove </t>
  </si>
  <si>
    <t xml:space="preserve">22005 Lesley Grove </t>
  </si>
  <si>
    <t>C</t>
  </si>
  <si>
    <t>21909 Bruce Rushing Lane</t>
  </si>
  <si>
    <t>H. Kim</t>
  </si>
  <si>
    <t>Early Term - Relocating out of state - paying early term fee on 1/1 with rent. Move-out 2/14</t>
  </si>
  <si>
    <t>22011 Ferguson Meadow</t>
  </si>
  <si>
    <t>A.1</t>
  </si>
  <si>
    <t>21946 Bruce Rushing Lane</t>
  </si>
  <si>
    <t>C Odom</t>
  </si>
  <si>
    <t>21939 Bobby Meadow Lane</t>
  </si>
  <si>
    <t>S Cheeks</t>
  </si>
  <si>
    <t>7302 Corey Rushing Lane</t>
  </si>
  <si>
    <t>22025 Lesley Grove Lane</t>
  </si>
  <si>
    <t>C1</t>
  </si>
  <si>
    <t>21954 Bobby meadow</t>
  </si>
  <si>
    <t>22046 Ferguson Meadow Lane</t>
  </si>
  <si>
    <t>Rivera</t>
  </si>
  <si>
    <t xml:space="preserve">21910 Ferguson Meadow Lane </t>
  </si>
  <si>
    <t>Calle</t>
  </si>
  <si>
    <t xml:space="preserve">E </t>
  </si>
  <si>
    <t>21915 Bobby Meadow Lane</t>
  </si>
  <si>
    <t>Hockaday</t>
  </si>
  <si>
    <t>7330 Leighton Meadow Ln</t>
  </si>
  <si>
    <t>Ikechukwu Nwagbosoma</t>
  </si>
  <si>
    <t>21950 Bobby Meadow Lane</t>
  </si>
  <si>
    <t>Y Thomas</t>
  </si>
  <si>
    <t>21913 Bruce Rushing</t>
  </si>
  <si>
    <t>Ibukunoluwa Oyeleke</t>
  </si>
  <si>
    <t>22035 Ferguson Meadow</t>
  </si>
  <si>
    <t>Sheela Isikwe</t>
  </si>
  <si>
    <t>7419 Leighton Meadow Lane</t>
  </si>
  <si>
    <t>Blake Draper</t>
  </si>
  <si>
    <t>Vivian Akamimo</t>
  </si>
  <si>
    <t>B, Mallard</t>
  </si>
  <si>
    <t>7430 Hadley Meadow Lane</t>
  </si>
  <si>
    <t>Smit Patel</t>
  </si>
  <si>
    <t>Sami Anjum</t>
  </si>
  <si>
    <t>Jeaneen Scott</t>
  </si>
  <si>
    <t>Tristan King</t>
  </si>
  <si>
    <t>21927 Bobby Meadow Lane</t>
  </si>
  <si>
    <t>Ljeoma Akoma</t>
  </si>
  <si>
    <t>22042 Ferguson Meadow Ln</t>
  </si>
  <si>
    <t>Beatriz Casiano</t>
  </si>
  <si>
    <t>Fatimah Kotun</t>
  </si>
  <si>
    <t>PENDING APPROVAL</t>
  </si>
  <si>
    <t>7326 Leighton Meadow</t>
  </si>
  <si>
    <t>Henry Chukwujiwu</t>
  </si>
  <si>
    <t xml:space="preserve">Gross Absorption = Total number of units leased </t>
  </si>
  <si>
    <t>Net Absorption = Total number of units leased minus the number of units vacated.</t>
  </si>
  <si>
    <t>Total / Avg</t>
  </si>
  <si>
    <t>Average</t>
  </si>
  <si>
    <t>&lt;---replace with chart in Power BI</t>
  </si>
  <si>
    <t># of leases signed</t>
  </si>
  <si>
    <t>Cumulative Leased</t>
  </si>
  <si>
    <t>Cumulative Leases</t>
  </si>
  <si>
    <t># Units Leased, Actual</t>
  </si>
  <si>
    <t xml:space="preserve">Canary </t>
  </si>
  <si>
    <t>Block</t>
  </si>
  <si>
    <t>Lot</t>
  </si>
  <si>
    <t>House #</t>
  </si>
  <si>
    <t>Address</t>
  </si>
  <si>
    <t xml:space="preserve">Inventory </t>
  </si>
  <si>
    <t>House Type</t>
  </si>
  <si>
    <t xml:space="preserve">Floorplan </t>
  </si>
  <si>
    <t>SQFT</t>
  </si>
  <si>
    <t>Phase</t>
  </si>
  <si>
    <t>Turnover Date</t>
  </si>
  <si>
    <t xml:space="preserve">Status </t>
  </si>
  <si>
    <t>Lease Executed Date</t>
  </si>
  <si>
    <t>Tenant Move-In Date</t>
  </si>
  <si>
    <t xml:space="preserve">Average Rent </t>
  </si>
  <si>
    <t>$/SQFT</t>
  </si>
  <si>
    <t>Under Construction</t>
  </si>
  <si>
    <t>7323 Hadley Meadow Lane</t>
  </si>
  <si>
    <t>B1</t>
  </si>
  <si>
    <t>3 Bed</t>
  </si>
  <si>
    <t xml:space="preserve">Leased </t>
  </si>
  <si>
    <t>B3</t>
  </si>
  <si>
    <t>7411 Hadley Meadow Lane</t>
  </si>
  <si>
    <t>F2</t>
  </si>
  <si>
    <t>Turned</t>
  </si>
  <si>
    <t>21923 Bobby Meadow Lane</t>
  </si>
  <si>
    <t>E1</t>
  </si>
  <si>
    <t>2 Bed</t>
  </si>
  <si>
    <t xml:space="preserve">Tenant Occupied </t>
  </si>
  <si>
    <t>21903 Bobby Meadow Lane</t>
  </si>
  <si>
    <t>7338 Hadley Meadow Lane</t>
  </si>
  <si>
    <t>A1</t>
  </si>
  <si>
    <t>22019 Ferguson Meadow Lane</t>
  </si>
  <si>
    <t>E3</t>
  </si>
  <si>
    <t>7326 Leighton Meadow Lane</t>
  </si>
  <si>
    <t>22042 Ferguson Meadow Lane</t>
  </si>
  <si>
    <t>7303 Hadley Meadow Lane</t>
  </si>
  <si>
    <t>F3</t>
  </si>
  <si>
    <t>7307 Leighton Meadow Lane</t>
  </si>
  <si>
    <t>B2</t>
  </si>
  <si>
    <t>7415 Hadley Meadow Lane</t>
  </si>
  <si>
    <t>7419 Hadley Meadow Lane</t>
  </si>
  <si>
    <t>21935 Bobby Meadow Lane</t>
  </si>
  <si>
    <t>22031 Ferguson Meadow Lane</t>
  </si>
  <si>
    <t>22035 Ferguson Meadow Lane</t>
  </si>
  <si>
    <t>21913 Bruce Rushing Lane</t>
  </si>
  <si>
    <t>A3</t>
  </si>
  <si>
    <t>21910 Ferguson Meadow Lane</t>
  </si>
  <si>
    <t>E2</t>
  </si>
  <si>
    <t>21954 Bobby Meadow Lane</t>
  </si>
  <si>
    <t>21946 Bobby Meadow Lane</t>
  </si>
  <si>
    <t>A2</t>
  </si>
  <si>
    <t>22011 Ferguson Meadow Lane</t>
  </si>
  <si>
    <t>22005 Lesley Grove Lane</t>
  </si>
  <si>
    <t>C3</t>
  </si>
  <si>
    <t>22033 Lesley Grove Lane</t>
  </si>
  <si>
    <t>F1</t>
  </si>
  <si>
    <t>22041 Lesley Grove Lane</t>
  </si>
  <si>
    <t>22038 Ferguson Meadow Lane</t>
  </si>
  <si>
    <t>22026 Lesley Grove Lane</t>
  </si>
  <si>
    <t>D1</t>
  </si>
  <si>
    <t>4 Bed</t>
  </si>
  <si>
    <t>22002 Ferguson Meadow Lane</t>
  </si>
  <si>
    <t>22045 Lesley Grove Lane</t>
  </si>
  <si>
    <t>7327 Hadley Meadow Lane</t>
  </si>
  <si>
    <t>7330 Leighton Meadow Lane</t>
  </si>
  <si>
    <t>22006 Ferguson Meadow Lane</t>
  </si>
  <si>
    <t>22010 Ferguson Meadow Lane</t>
  </si>
  <si>
    <t>22022 Ferguson Meadow Lane</t>
  </si>
  <si>
    <t>22029 Lesley Grove Lane</t>
  </si>
  <si>
    <t>D2</t>
  </si>
  <si>
    <t>22021 Lesley Grove Lane</t>
  </si>
  <si>
    <t>22017 Lesley Grove Lane</t>
  </si>
  <si>
    <t>22013 Lesley Grove Lane</t>
  </si>
  <si>
    <t>22009 Lesley Grove Lane</t>
  </si>
  <si>
    <t>C2</t>
  </si>
  <si>
    <t>22001 Lesley Grove Lane</t>
  </si>
  <si>
    <t>22022 Lesley Grove Lane</t>
  </si>
  <si>
    <t>22018 Lesley Grove Lane</t>
  </si>
  <si>
    <t>22014 Lesley Grove Lane</t>
  </si>
  <si>
    <t>7322 Corey Rushing Lane</t>
  </si>
  <si>
    <t>7318 Corey Rushing Lane</t>
  </si>
  <si>
    <t>7314 Corey Rushing Lane</t>
  </si>
  <si>
    <t>7310 Corey Rushing Lane</t>
  </si>
  <si>
    <t>7306 Corey Rushing Lane</t>
  </si>
  <si>
    <t>21921 Bruce Rushing Lane</t>
  </si>
  <si>
    <t>21905 Bruce Rushing Lane</t>
  </si>
  <si>
    <t>21901 Bruce Rushing Lane</t>
  </si>
  <si>
    <t>21942 Bobby Meadow Lane</t>
  </si>
  <si>
    <t>21931 Bobby Meadow Lane</t>
  </si>
  <si>
    <t>7431 Leighton Meadow Lane</t>
  </si>
  <si>
    <t>7427 Leighton Meadow Lane</t>
  </si>
  <si>
    <t>7423 Leighton Meadow Lane</t>
  </si>
  <si>
    <t>7314 Leighton Meadow Lane</t>
  </si>
  <si>
    <t>7318 Leighton Meadow Lane</t>
  </si>
  <si>
    <t>7322 Leighton Meadow Lane</t>
  </si>
  <si>
    <t>7334 Leighton Meadow Lane</t>
  </si>
  <si>
    <t>7303 Leighton Meadow Lane</t>
  </si>
  <si>
    <t>7311 Leighton Meadow Lane</t>
  </si>
  <si>
    <t>7315 Leighton Meadow Lane</t>
  </si>
  <si>
    <t>7319 Leighton Meadow Lane</t>
  </si>
  <si>
    <t>7323 Leighton Meadow Lane</t>
  </si>
  <si>
    <t>7403 Leighton Meadow Lane</t>
  </si>
  <si>
    <t>7407 Leighton Meadow Lane</t>
  </si>
  <si>
    <t>7411 Leighton Meadow Lane</t>
  </si>
  <si>
    <t>1R</t>
  </si>
  <si>
    <t>7415 Leighton Meadow Lane</t>
  </si>
  <si>
    <t>21919 Bobby Meadow Lane</t>
  </si>
  <si>
    <t>21907 Bobby Meadow Lane</t>
  </si>
  <si>
    <t>7435 Hadley Meadow Lane</t>
  </si>
  <si>
    <t>7427 Hadley Meadow Lane</t>
  </si>
  <si>
    <t>7423 Hadley Meadow Lane</t>
  </si>
  <si>
    <t>7407 Hadley Meadow Lane</t>
  </si>
  <si>
    <t>7403 Hadley Meadow Lane</t>
  </si>
  <si>
    <t>7426 Hadley Meadow Lane</t>
  </si>
  <si>
    <t>7422 Hadley Meadow Lane</t>
  </si>
  <si>
    <t>7418 Hadley Meadow Lane</t>
  </si>
  <si>
    <t>7414 Hadley Meadow Lane</t>
  </si>
  <si>
    <t>7410 Hadley Meadow Lane</t>
  </si>
  <si>
    <t>7406 Hadley Meadow Lane</t>
  </si>
  <si>
    <t>7402 Hadley Meadow Lane</t>
  </si>
  <si>
    <t>21906 Ferguson Meadow Lane</t>
  </si>
  <si>
    <t>7339 Hadley Meadow Lane</t>
  </si>
  <si>
    <t>7335 Hadley Meadow Lane</t>
  </si>
  <si>
    <t>7331 Hadley Meadow Lane</t>
  </si>
  <si>
    <t>7319 Hadley Meadow Lane</t>
  </si>
  <si>
    <t>7315 Hadley Meadow Lane</t>
  </si>
  <si>
    <t>7311 Hadley Meadow Lane</t>
  </si>
  <si>
    <t>7307 Hadley Meadow Lane</t>
  </si>
  <si>
    <t>21902 Ferguson Meadow Lane</t>
  </si>
  <si>
    <t>7334 Hadley Meadow Lane</t>
  </si>
  <si>
    <t>7330 Hadley Meadow Lane</t>
  </si>
  <si>
    <t>7326 Hadley Meadow Lane</t>
  </si>
  <si>
    <t>7322 Hadley Meadow Lane</t>
  </si>
  <si>
    <t>7318 Hadley Meadow Lane</t>
  </si>
  <si>
    <t>Prosp.&gt;Tours</t>
  </si>
  <si>
    <t>App.&gt;Leases</t>
  </si>
  <si>
    <t>Tour &gt;App.</t>
  </si>
  <si>
    <t>25% +</t>
  </si>
  <si>
    <t>60% +</t>
  </si>
  <si>
    <t>35% +</t>
  </si>
  <si>
    <t xml:space="preserve">Internal Proforma Budget </t>
  </si>
  <si>
    <t>60%+</t>
  </si>
  <si>
    <t xml:space="preserve">7411 Hadley Meadow </t>
  </si>
  <si>
    <t>Kristina Contreras</t>
  </si>
  <si>
    <t>TH-A</t>
  </si>
  <si>
    <t>TH-B</t>
  </si>
  <si>
    <t>TH-E</t>
  </si>
  <si>
    <t>TH-F</t>
  </si>
  <si>
    <t>TH-C</t>
  </si>
  <si>
    <t>TH-D</t>
  </si>
  <si>
    <t>Absorption (# Units)</t>
  </si>
  <si>
    <t>Net Absorption</t>
  </si>
  <si>
    <t>21906 Ferguson Meadow</t>
  </si>
  <si>
    <t>7323 Hadley Meadow</t>
  </si>
  <si>
    <t>Total Traffic</t>
  </si>
  <si>
    <t>Current Month Conversion:</t>
  </si>
  <si>
    <t>2/2-2/8</t>
  </si>
  <si>
    <t>1/26-2/1</t>
  </si>
  <si>
    <t>2/9-2/15</t>
  </si>
  <si>
    <t>2/16-2/22</t>
  </si>
  <si>
    <t>2/23-03/01</t>
  </si>
  <si>
    <t>In Q4, most leases were driven by Google channels, include GBP, Google Search and the property website, reinforcing the importance of maintaining a strong presence across Google's channels.  We continue to see this trend continue into 2026 with the website being the top lead generator. When looking into the website sources/mediums, Google organic search, paid search and direct traffic were the strongest.</t>
  </si>
  <si>
    <t>Renewals</t>
  </si>
  <si>
    <t>UTILITY INCOME</t>
  </si>
  <si>
    <t xml:space="preserve">OTHER INCOME </t>
  </si>
  <si>
    <t>OPERATING EXPENSES</t>
  </si>
  <si>
    <t>FIXED EXPENSES</t>
  </si>
  <si>
    <t>NET RENTAL INCOME</t>
  </si>
  <si>
    <t>CAPITAL IMPVMTS</t>
  </si>
  <si>
    <t>BUDGET TO ACTUAL  &amp;  CASH FLOW</t>
  </si>
  <si>
    <t>Variance</t>
  </si>
  <si>
    <t>Comments</t>
  </si>
  <si>
    <t>Act v Bud</t>
  </si>
  <si>
    <t>Occupied Market Rent</t>
  </si>
  <si>
    <t>&lt;--Taken from previous month's financial statement</t>
  </si>
  <si>
    <t>Rents</t>
  </si>
  <si>
    <t>Rents PSF</t>
  </si>
  <si>
    <t>Occupied Effective Rents</t>
  </si>
  <si>
    <t>Occupied Rents</t>
  </si>
  <si>
    <t>Current Market Rents</t>
  </si>
  <si>
    <t>Mkt - Eff Rents</t>
  </si>
  <si>
    <t>D2 Proforma Rents</t>
  </si>
  <si>
    <t>Mallard (THB)</t>
  </si>
  <si>
    <t>Raven (THF)</t>
  </si>
  <si>
    <t>Canary (THA)</t>
  </si>
  <si>
    <t>Sparrow (THE)</t>
  </si>
  <si>
    <t>Falcon (THC)</t>
  </si>
  <si>
    <t>Phoenix (THD)</t>
  </si>
  <si>
    <t xml:space="preserve">*Loss Leaders are not factored as a loss to lease since an adjustment is made to market rents. </t>
  </si>
  <si>
    <t>Loss/Gain to Lease*</t>
  </si>
  <si>
    <t>Mkt rent</t>
  </si>
  <si>
    <t>loss leader</t>
  </si>
  <si>
    <t>Occ rent</t>
  </si>
  <si>
    <t>THF</t>
  </si>
  <si>
    <t>Avg</t>
  </si>
  <si>
    <t>THB</t>
  </si>
  <si>
    <t>#22027F</t>
  </si>
  <si>
    <t>AVG</t>
  </si>
  <si>
    <t>The $400 gain to lease reflects that premium for the two residents who rented at $2950, before downward adj.</t>
  </si>
  <si>
    <t>TOTAL OTHER INCOME, INCL. UTILITY</t>
  </si>
  <si>
    <t>Variance Budget to Proforma</t>
  </si>
  <si>
    <t>21923 Bobby Meadow</t>
  </si>
  <si>
    <t xml:space="preserve">7426 Hadley Meadow </t>
  </si>
  <si>
    <t># of Occ Units</t>
  </si>
  <si>
    <t>TOTALS - January</t>
  </si>
  <si>
    <t>TOTALS - February</t>
  </si>
  <si>
    <t>TOTAL INCOME</t>
  </si>
  <si>
    <t>$85 app fee per applicant</t>
  </si>
  <si>
    <t>$200 admin fee</t>
  </si>
  <si>
    <t>$99 App / Admin Fee for L&amp;L</t>
  </si>
  <si>
    <t>&lt;--loss leaders</t>
  </si>
  <si>
    <t>Occupied Rent</t>
  </si>
  <si>
    <t>Current Occupied Rents</t>
  </si>
  <si>
    <t>Current Occupied 
Rents PSF</t>
  </si>
  <si>
    <t xml:space="preserve">Item </t>
  </si>
  <si>
    <t>Description</t>
  </si>
  <si>
    <t>Status</t>
  </si>
  <si>
    <t xml:space="preserve">MUD Reimbursement </t>
  </si>
  <si>
    <t xml:space="preserve">Capital Builder's C/O </t>
  </si>
  <si>
    <t>Funding Request</t>
  </si>
  <si>
    <t>Balance after $60K split is reimbursed.</t>
  </si>
  <si>
    <t>D2/ LENDER PROFORMA</t>
  </si>
  <si>
    <t>TOTAL PROJECTED CASH FLOW - D2</t>
  </si>
  <si>
    <t>DISCUSSION ITEMS</t>
  </si>
  <si>
    <t xml:space="preserve">Maintenance Supervisor </t>
  </si>
  <si>
    <t>Replacement</t>
  </si>
  <si>
    <t>21902 Ferguson Meadow</t>
  </si>
  <si>
    <t>N Wilson</t>
  </si>
  <si>
    <t>7322 Corey Rushing</t>
  </si>
  <si>
    <t>x</t>
  </si>
  <si>
    <r>
      <rPr>
        <sz val="8"/>
        <rFont val="Helvetica"/>
        <family val="2"/>
      </rPr>
      <t>t0879945</t>
    </r>
  </si>
  <si>
    <r>
      <rPr>
        <sz val="8"/>
        <rFont val="Helvetica"/>
        <family val="2"/>
      </rPr>
      <t>Ogembo, Samantha</t>
    </r>
  </si>
  <si>
    <r>
      <rPr>
        <sz val="8"/>
        <rFont val="Helvetica"/>
        <family val="2"/>
      </rPr>
      <t>No</t>
    </r>
  </si>
  <si>
    <r>
      <rPr>
        <sz val="8"/>
        <rFont val="Helvetica"/>
        <family val="2"/>
      </rPr>
      <t>7322C</t>
    </r>
  </si>
  <si>
    <r>
      <rPr>
        <sz val="8"/>
        <rFont val="Helvetica"/>
        <family val="2"/>
      </rPr>
      <t>t0898457</t>
    </r>
  </si>
  <si>
    <r>
      <rPr>
        <sz val="8"/>
        <rFont val="Helvetica"/>
        <family val="2"/>
      </rPr>
      <t>Wilson, Nicholas</t>
    </r>
  </si>
  <si>
    <r>
      <rPr>
        <sz val="8"/>
        <rFont val="Helvetica"/>
        <family val="2"/>
      </rPr>
      <t>21923M</t>
    </r>
  </si>
  <si>
    <r>
      <rPr>
        <sz val="8"/>
        <rFont val="Helvetica"/>
        <family val="2"/>
      </rPr>
      <t>t0869754</t>
    </r>
  </si>
  <si>
    <r>
      <rPr>
        <sz val="8"/>
        <rFont val="Helvetica"/>
        <family val="2"/>
      </rPr>
      <t>Buchanan, Britany</t>
    </r>
  </si>
  <si>
    <r>
      <rPr>
        <sz val="8"/>
        <rFont val="Helvetica"/>
        <family val="2"/>
      </rPr>
      <t>21902F</t>
    </r>
  </si>
  <si>
    <r>
      <rPr>
        <sz val="8"/>
        <rFont val="Helvetica"/>
        <family val="2"/>
      </rPr>
      <t>t0897186</t>
    </r>
  </si>
  <si>
    <r>
      <rPr>
        <sz val="8"/>
        <rFont val="Helvetica"/>
        <family val="2"/>
      </rPr>
      <t>Ogunjimi, Oladeji</t>
    </r>
  </si>
  <si>
    <r>
      <rPr>
        <sz val="8"/>
        <rFont val="Helvetica"/>
        <family val="2"/>
      </rPr>
      <t>21903M</t>
    </r>
  </si>
  <si>
    <r>
      <rPr>
        <sz val="8"/>
        <rFont val="Helvetica"/>
        <family val="2"/>
      </rPr>
      <t>t0872577</t>
    </r>
  </si>
  <si>
    <r>
      <rPr>
        <sz val="8"/>
        <rFont val="Helvetica"/>
        <family val="2"/>
      </rPr>
      <t>Gutierrez, Erica</t>
    </r>
  </si>
  <si>
    <r>
      <rPr>
        <sz val="8"/>
        <rFont val="Helvetica"/>
        <family val="2"/>
      </rPr>
      <t>Current</t>
    </r>
  </si>
  <si>
    <r>
      <rPr>
        <sz val="8"/>
        <rFont val="Helvetica"/>
        <family val="2"/>
      </rPr>
      <t>22014F</t>
    </r>
  </si>
  <si>
    <r>
      <rPr>
        <sz val="8"/>
        <rFont val="Helvetica"/>
        <family val="2"/>
      </rPr>
      <t>t0743361</t>
    </r>
  </si>
  <si>
    <r>
      <rPr>
        <sz val="8"/>
        <rFont val="Helvetica"/>
        <family val="2"/>
      </rPr>
      <t>Green, Dominique</t>
    </r>
  </si>
  <si>
    <r>
      <rPr>
        <sz val="8"/>
        <rFont val="Helvetica"/>
        <family val="2"/>
      </rPr>
      <t>22015F</t>
    </r>
  </si>
  <si>
    <r>
      <rPr>
        <sz val="8"/>
        <rFont val="Helvetica"/>
        <family val="2"/>
      </rPr>
      <t>t0742291</t>
    </r>
  </si>
  <si>
    <r>
      <rPr>
        <sz val="8"/>
        <rFont val="Helvetica"/>
        <family val="2"/>
      </rPr>
      <t>Olmsted, Deborah</t>
    </r>
  </si>
  <si>
    <r>
      <rPr>
        <sz val="8"/>
        <rFont val="Helvetica"/>
        <family val="2"/>
      </rPr>
      <t>22030F</t>
    </r>
  </si>
  <si>
    <r>
      <rPr>
        <sz val="8"/>
        <rFont val="Helvetica"/>
        <family val="2"/>
      </rPr>
      <t>t0759978</t>
    </r>
  </si>
  <si>
    <r>
      <rPr>
        <sz val="8"/>
        <rFont val="Helvetica"/>
        <family val="2"/>
      </rPr>
      <t>Roberts, Melissa</t>
    </r>
  </si>
  <si>
    <r>
      <rPr>
        <sz val="8"/>
        <rFont val="Helvetica"/>
        <family val="2"/>
      </rPr>
      <t>22033L</t>
    </r>
  </si>
  <si>
    <r>
      <rPr>
        <sz val="8"/>
        <rFont val="Helvetica"/>
        <family val="2"/>
      </rPr>
      <t>t0788773</t>
    </r>
  </si>
  <si>
    <r>
      <rPr>
        <sz val="8"/>
        <rFont val="Helvetica"/>
        <family val="2"/>
      </rPr>
      <t>Ciftci, Irmak</t>
    </r>
  </si>
  <si>
    <r>
      <rPr>
        <sz val="8"/>
        <rFont val="Helvetica"/>
        <family val="2"/>
      </rPr>
      <t>22034F</t>
    </r>
  </si>
  <si>
    <r>
      <rPr>
        <sz val="8"/>
        <rFont val="Helvetica"/>
        <family val="2"/>
      </rPr>
      <t>t0781667</t>
    </r>
  </si>
  <si>
    <r>
      <rPr>
        <sz val="8"/>
        <rFont val="Helvetica"/>
        <family val="2"/>
      </rPr>
      <t>Maynard, Joseph</t>
    </r>
  </si>
  <si>
    <r>
      <rPr>
        <sz val="8"/>
        <rFont val="Helvetica"/>
        <family val="2"/>
      </rPr>
      <t>22038F</t>
    </r>
  </si>
  <si>
    <r>
      <rPr>
        <sz val="8"/>
        <rFont val="Helvetica"/>
        <family val="2"/>
      </rPr>
      <t>t0790210</t>
    </r>
  </si>
  <si>
    <r>
      <rPr>
        <sz val="8"/>
        <rFont val="Helvetica"/>
        <family val="2"/>
      </rPr>
      <t>Ojediran, Olunife</t>
    </r>
  </si>
  <si>
    <r>
      <rPr>
        <sz val="8"/>
        <rFont val="Helvetica"/>
        <family val="2"/>
      </rPr>
      <t>22041L</t>
    </r>
  </si>
  <si>
    <r>
      <rPr>
        <sz val="8"/>
        <rFont val="Helvetica"/>
        <family val="2"/>
      </rPr>
      <t>t0732993</t>
    </r>
  </si>
  <si>
    <r>
      <rPr>
        <sz val="8"/>
        <rFont val="Helvetica"/>
        <family val="2"/>
      </rPr>
      <t>Pack, Taylor</t>
    </r>
  </si>
  <si>
    <r>
      <rPr>
        <sz val="8"/>
        <rFont val="Helvetica"/>
        <family val="2"/>
      </rPr>
      <t>22045L</t>
    </r>
  </si>
  <si>
    <r>
      <rPr>
        <sz val="8"/>
        <rFont val="Helvetica"/>
        <family val="2"/>
      </rPr>
      <t>t0768634</t>
    </r>
  </si>
  <si>
    <r>
      <rPr>
        <sz val="8"/>
        <rFont val="Helvetica"/>
        <family val="2"/>
      </rPr>
      <t>Adaranijo, Idris</t>
    </r>
  </si>
  <si>
    <r>
      <rPr>
        <sz val="8"/>
        <rFont val="Helvetica"/>
        <family val="2"/>
      </rPr>
      <t>7330L</t>
    </r>
  </si>
  <si>
    <r>
      <rPr>
        <sz val="8"/>
        <rFont val="Helvetica"/>
        <family val="2"/>
      </rPr>
      <t>t0863004</t>
    </r>
  </si>
  <si>
    <r>
      <rPr>
        <sz val="8"/>
        <rFont val="Helvetica"/>
        <family val="2"/>
      </rPr>
      <t>Nwagbosoma, Ikechukwu</t>
    </r>
  </si>
  <si>
    <r>
      <rPr>
        <sz val="8"/>
        <rFont val="Helvetica"/>
        <family val="2"/>
      </rPr>
      <t>21917R</t>
    </r>
  </si>
  <si>
    <r>
      <rPr>
        <sz val="8"/>
        <rFont val="Helvetica"/>
        <family val="2"/>
      </rPr>
      <t>t0749335</t>
    </r>
  </si>
  <si>
    <r>
      <rPr>
        <sz val="8"/>
        <rFont val="Helvetica"/>
        <family val="2"/>
      </rPr>
      <t>Jeffery, Laura</t>
    </r>
  </si>
  <si>
    <r>
      <rPr>
        <sz val="8"/>
        <rFont val="Helvetica"/>
        <family val="2"/>
      </rPr>
      <t>21935M</t>
    </r>
  </si>
  <si>
    <r>
      <rPr>
        <sz val="8"/>
        <rFont val="Helvetica"/>
        <family val="2"/>
      </rPr>
      <t>t0875759</t>
    </r>
  </si>
  <si>
    <r>
      <rPr>
        <sz val="8"/>
        <rFont val="Helvetica"/>
        <family val="2"/>
      </rPr>
      <t>Akamimo, Vivian</t>
    </r>
  </si>
  <si>
    <r>
      <rPr>
        <sz val="8"/>
        <rFont val="Helvetica"/>
        <family val="2"/>
      </rPr>
      <t>21939M</t>
    </r>
  </si>
  <si>
    <r>
      <rPr>
        <sz val="8"/>
        <rFont val="Helvetica"/>
        <family val="2"/>
      </rPr>
      <t>t0792371</t>
    </r>
  </si>
  <si>
    <r>
      <rPr>
        <sz val="8"/>
        <rFont val="Helvetica"/>
        <family val="2"/>
      </rPr>
      <t>Cheeks, Sharonda</t>
    </r>
  </si>
  <si>
    <r>
      <rPr>
        <sz val="8"/>
        <rFont val="Helvetica"/>
        <family val="2"/>
      </rPr>
      <t>21954M</t>
    </r>
  </si>
  <si>
    <r>
      <rPr>
        <sz val="8"/>
        <rFont val="Helvetica"/>
        <family val="2"/>
      </rPr>
      <t>t0839189</t>
    </r>
  </si>
  <si>
    <r>
      <rPr>
        <sz val="8"/>
        <rFont val="Helvetica"/>
        <family val="2"/>
      </rPr>
      <t>Nwabuko, Nnenna</t>
    </r>
  </si>
  <si>
    <r>
      <rPr>
        <sz val="8"/>
        <rFont val="Helvetica"/>
        <family val="2"/>
      </rPr>
      <t>22018F</t>
    </r>
  </si>
  <si>
    <r>
      <rPr>
        <sz val="8"/>
        <rFont val="Helvetica"/>
        <family val="2"/>
      </rPr>
      <t>t0764120</t>
    </r>
  </si>
  <si>
    <r>
      <rPr>
        <sz val="8"/>
        <rFont val="Helvetica"/>
        <family val="2"/>
      </rPr>
      <t>Aro, Opeyemi</t>
    </r>
  </si>
  <si>
    <r>
      <rPr>
        <sz val="8"/>
        <rFont val="Helvetica"/>
        <family val="2"/>
      </rPr>
      <t>22027F</t>
    </r>
  </si>
  <si>
    <r>
      <rPr>
        <sz val="8"/>
        <rFont val="Helvetica"/>
        <family val="2"/>
      </rPr>
      <t>t0784837</t>
    </r>
  </si>
  <si>
    <r>
      <rPr>
        <sz val="8"/>
        <rFont val="Helvetica"/>
        <family val="2"/>
      </rPr>
      <t>Egunjobi, Ransome</t>
    </r>
  </si>
  <si>
    <r>
      <rPr>
        <sz val="8"/>
        <rFont val="Helvetica"/>
        <family val="2"/>
      </rPr>
      <t>22031F</t>
    </r>
  </si>
  <si>
    <r>
      <rPr>
        <sz val="8"/>
        <rFont val="Helvetica"/>
        <family val="2"/>
      </rPr>
      <t>t0869313</t>
    </r>
  </si>
  <si>
    <r>
      <rPr>
        <sz val="8"/>
        <rFont val="Helvetica"/>
        <family val="2"/>
      </rPr>
      <t>Adegbuyi, Taiwo</t>
    </r>
  </si>
  <si>
    <r>
      <rPr>
        <sz val="8"/>
        <rFont val="Helvetica"/>
        <family val="2"/>
      </rPr>
      <t>22035F</t>
    </r>
  </si>
  <si>
    <r>
      <rPr>
        <sz val="8"/>
        <rFont val="Helvetica"/>
        <family val="2"/>
      </rPr>
      <t>t0864259</t>
    </r>
  </si>
  <si>
    <r>
      <rPr>
        <sz val="8"/>
        <rFont val="Helvetica"/>
        <family val="2"/>
      </rPr>
      <t>Isikwe, Sheela</t>
    </r>
  </si>
  <si>
    <r>
      <rPr>
        <sz val="8"/>
        <rFont val="Helvetica"/>
        <family val="2"/>
      </rPr>
      <t>22046F</t>
    </r>
  </si>
  <si>
    <r>
      <rPr>
        <sz val="8"/>
        <rFont val="Helvetica"/>
        <family val="2"/>
      </rPr>
      <t>t0842791</t>
    </r>
  </si>
  <si>
    <r>
      <rPr>
        <sz val="8"/>
        <rFont val="Helvetica"/>
        <family val="2"/>
      </rPr>
      <t>Rivera, Jasmine</t>
    </r>
  </si>
  <si>
    <r>
      <rPr>
        <sz val="8"/>
        <rFont val="Helvetica"/>
        <family val="2"/>
      </rPr>
      <t>7302C</t>
    </r>
  </si>
  <si>
    <r>
      <rPr>
        <sz val="8"/>
        <rFont val="Helvetica"/>
        <family val="2"/>
      </rPr>
      <t>t0847397</t>
    </r>
  </si>
  <si>
    <r>
      <rPr>
        <sz val="8"/>
        <rFont val="Helvetica"/>
        <family val="2"/>
      </rPr>
      <t>Owens, Rachel</t>
    </r>
  </si>
  <si>
    <r>
      <rPr>
        <sz val="8"/>
        <rFont val="Helvetica"/>
        <family val="2"/>
      </rPr>
      <t>7307L</t>
    </r>
  </si>
  <si>
    <r>
      <rPr>
        <sz val="8"/>
        <rFont val="Helvetica"/>
        <family val="2"/>
      </rPr>
      <t>t0875657</t>
    </r>
  </si>
  <si>
    <r>
      <rPr>
        <sz val="8"/>
        <rFont val="Helvetica"/>
        <family val="2"/>
      </rPr>
      <t>Scott, Jeaneen</t>
    </r>
  </si>
  <si>
    <r>
      <rPr>
        <sz val="8"/>
        <rFont val="Helvetica"/>
        <family val="2"/>
      </rPr>
      <t>7326L</t>
    </r>
  </si>
  <si>
    <r>
      <rPr>
        <sz val="8"/>
        <rFont val="Helvetica"/>
        <family val="2"/>
      </rPr>
      <t>t0887601</t>
    </r>
  </si>
  <si>
    <r>
      <rPr>
        <sz val="8"/>
        <rFont val="Helvetica"/>
        <family val="2"/>
      </rPr>
      <t>Chukwujiwu, Henry</t>
    </r>
  </si>
  <si>
    <r>
      <rPr>
        <sz val="8"/>
        <rFont val="Helvetica"/>
        <family val="2"/>
      </rPr>
      <t>7338H</t>
    </r>
  </si>
  <si>
    <r>
      <rPr>
        <sz val="8"/>
        <rFont val="Helvetica"/>
        <family val="2"/>
      </rPr>
      <t>t0879496</t>
    </r>
  </si>
  <si>
    <r>
      <rPr>
        <sz val="8"/>
        <rFont val="Helvetica"/>
        <family val="2"/>
      </rPr>
      <t>Elborno, Lana</t>
    </r>
  </si>
  <si>
    <r>
      <rPr>
        <sz val="8"/>
        <rFont val="Helvetica"/>
        <family val="2"/>
      </rPr>
      <t>7415H</t>
    </r>
  </si>
  <si>
    <r>
      <rPr>
        <sz val="8"/>
        <rFont val="Helvetica"/>
        <family val="2"/>
      </rPr>
      <t>t0876281</t>
    </r>
  </si>
  <si>
    <r>
      <rPr>
        <sz val="8"/>
        <rFont val="Helvetica"/>
        <family val="2"/>
      </rPr>
      <t>King, Tristan</t>
    </r>
  </si>
  <si>
    <r>
      <rPr>
        <sz val="8"/>
        <rFont val="Helvetica"/>
        <family val="2"/>
      </rPr>
      <t>7419H</t>
    </r>
  </si>
  <si>
    <r>
      <rPr>
        <sz val="8"/>
        <rFont val="Helvetica"/>
        <family val="2"/>
      </rPr>
      <t>t0843668</t>
    </r>
  </si>
  <si>
    <r>
      <rPr>
        <sz val="8"/>
        <rFont val="Helvetica"/>
        <family val="2"/>
      </rPr>
      <t>Anjum, Sami</t>
    </r>
  </si>
  <si>
    <r>
      <rPr>
        <sz val="8"/>
        <rFont val="Helvetica"/>
        <family val="2"/>
      </rPr>
      <t>7419L</t>
    </r>
  </si>
  <si>
    <r>
      <rPr>
        <sz val="8"/>
        <rFont val="Helvetica"/>
        <family val="2"/>
      </rPr>
      <t>t0869509</t>
    </r>
  </si>
  <si>
    <r>
      <rPr>
        <sz val="8"/>
        <rFont val="Helvetica"/>
        <family val="2"/>
      </rPr>
      <t>Draper, Blake</t>
    </r>
  </si>
  <si>
    <r>
      <rPr>
        <sz val="8"/>
        <rFont val="Helvetica"/>
        <family val="2"/>
      </rPr>
      <t>7426H</t>
    </r>
  </si>
  <si>
    <r>
      <rPr>
        <sz val="8"/>
        <rFont val="Helvetica"/>
        <family val="2"/>
      </rPr>
      <t>t0887427</t>
    </r>
  </si>
  <si>
    <r>
      <rPr>
        <sz val="8"/>
        <rFont val="Helvetica"/>
        <family val="2"/>
      </rPr>
      <t>Kotun, Fatimah</t>
    </r>
  </si>
  <si>
    <r>
      <rPr>
        <sz val="8"/>
        <rFont val="Helvetica"/>
        <family val="2"/>
      </rPr>
      <t>7430H</t>
    </r>
  </si>
  <si>
    <r>
      <rPr>
        <sz val="8"/>
        <rFont val="Helvetica"/>
        <family val="2"/>
      </rPr>
      <t>t0843642</t>
    </r>
  </si>
  <si>
    <r>
      <rPr>
        <sz val="8"/>
        <rFont val="Helvetica"/>
        <family val="2"/>
      </rPr>
      <t>Patel, Smit</t>
    </r>
  </si>
  <si>
    <r>
      <rPr>
        <sz val="8"/>
        <rFont val="Helvetica"/>
        <family val="2"/>
      </rPr>
      <t>22005L</t>
    </r>
  </si>
  <si>
    <r>
      <rPr>
        <sz val="8"/>
        <rFont val="Helvetica"/>
        <family val="2"/>
      </rPr>
      <t>t0790375</t>
    </r>
  </si>
  <si>
    <r>
      <rPr>
        <sz val="8"/>
        <rFont val="Helvetica"/>
        <family val="2"/>
      </rPr>
      <t>Martinez, Melinda</t>
    </r>
  </si>
  <si>
    <r>
      <rPr>
        <sz val="8"/>
        <rFont val="Helvetica"/>
        <family val="2"/>
      </rPr>
      <t>22025L</t>
    </r>
  </si>
  <si>
    <r>
      <rPr>
        <sz val="8"/>
        <rFont val="Helvetica"/>
        <family val="2"/>
      </rPr>
      <t>t0848681</t>
    </r>
  </si>
  <si>
    <r>
      <rPr>
        <sz val="8"/>
        <rFont val="Helvetica"/>
        <family val="2"/>
      </rPr>
      <t>Rush, Cody</t>
    </r>
  </si>
  <si>
    <r>
      <rPr>
        <sz val="8"/>
        <rFont val="Helvetica"/>
        <family val="2"/>
      </rPr>
      <t>22026L</t>
    </r>
  </si>
  <si>
    <r>
      <rPr>
        <sz val="8"/>
        <rFont val="Helvetica"/>
        <family val="2"/>
      </rPr>
      <t>t0775747</t>
    </r>
  </si>
  <si>
    <r>
      <rPr>
        <sz val="8"/>
        <rFont val="Helvetica"/>
        <family val="2"/>
      </rPr>
      <t>Pipkin, Raquel</t>
    </r>
  </si>
  <si>
    <r>
      <rPr>
        <sz val="8"/>
        <rFont val="Helvetica"/>
        <family val="2"/>
      </rPr>
      <t>21910F</t>
    </r>
  </si>
  <si>
    <r>
      <rPr>
        <sz val="8"/>
        <rFont val="Helvetica"/>
        <family val="2"/>
      </rPr>
      <t>t0806811</t>
    </r>
  </si>
  <si>
    <r>
      <rPr>
        <sz val="8"/>
        <rFont val="Helvetica"/>
        <family val="2"/>
      </rPr>
      <t>Calle, Natalia</t>
    </r>
  </si>
  <si>
    <r>
      <rPr>
        <sz val="8"/>
        <rFont val="Helvetica"/>
        <family val="2"/>
      </rPr>
      <t>22019F</t>
    </r>
  </si>
  <si>
    <r>
      <rPr>
        <sz val="8"/>
        <rFont val="Helvetica"/>
        <family val="2"/>
      </rPr>
      <t>t0883729</t>
    </r>
  </si>
  <si>
    <r>
      <rPr>
        <sz val="8"/>
        <rFont val="Helvetica"/>
        <family val="2"/>
      </rPr>
      <t>Ramazani, Mahdi</t>
    </r>
  </si>
  <si>
    <r>
      <rPr>
        <sz val="8"/>
        <rFont val="Helvetica"/>
        <family val="2"/>
      </rPr>
      <t>22037L</t>
    </r>
  </si>
  <si>
    <r>
      <rPr>
        <sz val="8"/>
        <rFont val="Helvetica"/>
        <family val="2"/>
      </rPr>
      <t>t0726872</t>
    </r>
  </si>
  <si>
    <r>
      <rPr>
        <sz val="8"/>
        <rFont val="Helvetica"/>
        <family val="2"/>
      </rPr>
      <t>Trinh, Brian</t>
    </r>
  </si>
  <si>
    <r>
      <rPr>
        <sz val="8"/>
        <rFont val="Helvetica"/>
        <family val="2"/>
      </rPr>
      <t>22023F</t>
    </r>
  </si>
  <si>
    <r>
      <rPr>
        <sz val="8"/>
        <rFont val="Helvetica"/>
        <family val="2"/>
      </rPr>
      <t>t0793572</t>
    </r>
  </si>
  <si>
    <r>
      <rPr>
        <sz val="8"/>
        <rFont val="Helvetica"/>
        <family val="2"/>
      </rPr>
      <t>Adewumi, Omolara</t>
    </r>
  </si>
  <si>
    <r>
      <rPr>
        <sz val="8"/>
        <rFont val="Helvetica"/>
        <family val="2"/>
      </rPr>
      <t>22042F</t>
    </r>
  </si>
  <si>
    <r>
      <rPr>
        <sz val="8"/>
        <rFont val="Helvetica"/>
        <family val="2"/>
      </rPr>
      <t>t0879704</t>
    </r>
  </si>
  <si>
    <r>
      <rPr>
        <sz val="8"/>
        <rFont val="Helvetica"/>
        <family val="2"/>
      </rPr>
      <t>Casiano Hernandez, Beatriz</t>
    </r>
  </si>
  <si>
    <r>
      <rPr>
        <sz val="8"/>
        <rFont val="Helvetica"/>
        <family val="2"/>
      </rPr>
      <t>7303H</t>
    </r>
  </si>
  <si>
    <r>
      <rPr>
        <sz val="8"/>
        <rFont val="Helvetica"/>
        <family val="2"/>
      </rPr>
      <t>t0860174</t>
    </r>
  </si>
  <si>
    <r>
      <rPr>
        <sz val="8"/>
        <rFont val="Helvetica"/>
        <family val="2"/>
      </rPr>
      <t>Akoma, Ijeoma</t>
    </r>
  </si>
  <si>
    <r>
      <rPr>
        <sz val="8"/>
        <rFont val="Helvetica"/>
        <family val="2"/>
      </rPr>
      <t>7411H</t>
    </r>
  </si>
  <si>
    <r>
      <rPr>
        <sz val="8"/>
        <rFont val="Helvetica"/>
        <family val="2"/>
      </rPr>
      <t>t0890574</t>
    </r>
  </si>
  <si>
    <r>
      <rPr>
        <sz val="8"/>
        <rFont val="Helvetica"/>
        <family val="2"/>
      </rPr>
      <t>Contreras, Kristina</t>
    </r>
  </si>
  <si>
    <t>Rent Roll</t>
  </si>
  <si>
    <t>Match</t>
  </si>
  <si>
    <t>No Match</t>
  </si>
  <si>
    <t>Tenant</t>
  </si>
  <si>
    <t xml:space="preserve">Paste here leased not moved in </t>
  </si>
  <si>
    <t>Paste here moved in units</t>
  </si>
  <si>
    <t>Tenant Move Out Date</t>
  </si>
  <si>
    <t>Executed 
Leases To Date</t>
  </si>
  <si>
    <t>Current 
Occupancy</t>
  </si>
  <si>
    <r>
      <rPr>
        <sz val="8"/>
        <rFont val="Helvetica"/>
        <family val="2"/>
      </rPr>
      <t>21906F</t>
    </r>
  </si>
  <si>
    <t>Jillian Jones</t>
  </si>
  <si>
    <t>7338 Hadley Meadow</t>
  </si>
  <si>
    <t>Elborno, Lana</t>
  </si>
  <si>
    <t>TRAFFIC SUMMARY &amp; CONVERSIONS</t>
  </si>
  <si>
    <t xml:space="preserve">Traffic was down in the month of February; however the team's conversions exceeded KPIs.  </t>
  </si>
  <si>
    <r>
      <t>Additional Leasing Incentives:</t>
    </r>
    <r>
      <rPr>
        <b/>
        <sz val="10.5"/>
        <color rgb="FF000000"/>
        <rFont val="Aptos"/>
        <family val="2"/>
      </rPr>
      <t> </t>
    </r>
  </si>
  <si>
    <t>*Stopped automatically waiving the App Fee($85) and Admin Fee ($200) unless necessary.  * We do offer the L&amp;L App/Admin Fee of $99 if leased in 24 hours.</t>
  </si>
  <si>
    <t xml:space="preserve">Mallard market rent is lower because of one loss leader.  Mkt assumes $2,750 rent taken over all units; occ avg rent assumes actual rent which includes two residents at $2950. </t>
  </si>
  <si>
    <t>3/2-3/8</t>
  </si>
  <si>
    <t>NOI / CASH FLOW</t>
  </si>
  <si>
    <t>2026 BUDGET</t>
  </si>
  <si>
    <t>2026 FORECAST</t>
  </si>
  <si>
    <t>FORECASTED NOI / CASH FLOW</t>
  </si>
  <si>
    <t xml:space="preserve">Variance Forcast to Budget </t>
  </si>
  <si>
    <t xml:space="preserve">Concessions hit the books 30 days following a resident's move-in.  </t>
  </si>
  <si>
    <t>E.G. if a resident moves in on Jan 30, they pay 2 days of rent in Jan, all of Feb and then March gets hit with the full concession</t>
  </si>
  <si>
    <t>Annual Mkt</t>
  </si>
  <si>
    <t>concession value</t>
  </si>
  <si>
    <t>based on 13-month lease</t>
  </si>
  <si>
    <t>Net Effective Rent</t>
  </si>
  <si>
    <t>6-week concession</t>
  </si>
  <si>
    <t xml:space="preserve">net eff rent with 6-weeks + 8% </t>
  </si>
  <si>
    <t>Mkt -8% discount</t>
  </si>
  <si>
    <t>amenity fee disct</t>
  </si>
  <si>
    <t>NET CASH FLOW</t>
  </si>
  <si>
    <t xml:space="preserve">Ownership interviewed two candidates for maint. Supervisor. Offer extended </t>
  </si>
  <si>
    <t>Project Costs - Repairs</t>
  </si>
  <si>
    <t>Future</t>
  </si>
  <si>
    <t>No</t>
  </si>
  <si>
    <t>t0902211</t>
  </si>
  <si>
    <t>Jones, Jillian</t>
  </si>
  <si>
    <t>Applicant</t>
  </si>
  <si>
    <t>There have been several project / development costs that are funneling through to be paid (eg. Utility,</t>
  </si>
  <si>
    <t xml:space="preserve">repairs, meditation park, etc)  Those invoices were negatively impacting the operations budget, therefore, </t>
  </si>
  <si>
    <t>it was decided that ownership would retain $8K of the $60K from D2 to help absorb those costs.</t>
  </si>
  <si>
    <t>Unit</t>
  </si>
  <si>
    <t>Resident</t>
  </si>
  <si>
    <t>Name</t>
  </si>
  <si>
    <t>Days</t>
  </si>
  <si>
    <t>Make</t>
  </si>
  <si>
    <t>Move</t>
  </si>
  <si>
    <t>Hold</t>
  </si>
  <si>
    <t>Notice</t>
  </si>
  <si>
    <t>Lease</t>
  </si>
  <si>
    <t>Rent</t>
  </si>
  <si>
    <t>Deposit</t>
  </si>
  <si>
    <t>Vacant</t>
  </si>
  <si>
    <t>Ready</t>
  </si>
  <si>
    <t>In</t>
  </si>
  <si>
    <t>Until</t>
  </si>
  <si>
    <t>Out</t>
  </si>
  <si>
    <t>Sign</t>
  </si>
  <si>
    <t>From</t>
  </si>
  <si>
    <t>To</t>
  </si>
  <si>
    <t>Oladeji Ogunjimi</t>
  </si>
  <si>
    <t>Grace Ajah</t>
  </si>
  <si>
    <t>7431L</t>
  </si>
  <si>
    <t>22013L</t>
  </si>
  <si>
    <t>t0903492</t>
  </si>
  <si>
    <t>Ajah, Grace</t>
  </si>
  <si>
    <t>22013 Leslie Grove</t>
  </si>
  <si>
    <t>Earnesto Gonzalez</t>
  </si>
  <si>
    <t>`</t>
  </si>
  <si>
    <r>
      <rPr>
        <sz val="11"/>
        <color theme="3"/>
        <rFont val="Aptos"/>
        <family val="2"/>
      </rPr>
      <t xml:space="preserve">Net Absorption </t>
    </r>
    <r>
      <rPr>
        <b/>
        <sz val="11"/>
        <color theme="3"/>
        <rFont val="Aptos"/>
        <family val="2"/>
      </rPr>
      <t xml:space="preserve">
March 2026</t>
    </r>
  </si>
  <si>
    <t>7435 Hadley Meadow</t>
  </si>
  <si>
    <r>
      <rPr>
        <sz val="8"/>
        <rFont val="Helvetica"/>
        <family val="2"/>
      </rPr>
      <t>t0907984</t>
    </r>
  </si>
  <si>
    <r>
      <rPr>
        <sz val="8"/>
        <rFont val="Helvetica"/>
        <family val="2"/>
      </rPr>
      <t>Gonzalez, Ernesto</t>
    </r>
  </si>
  <si>
    <t>Lease Expirations</t>
  </si>
  <si>
    <t>Renewal</t>
  </si>
  <si>
    <t xml:space="preserve"> Feb 2026</t>
  </si>
  <si>
    <t>%</t>
  </si>
  <si>
    <t>Leased</t>
  </si>
  <si>
    <t xml:space="preserve">*Ember approved a $500 quarterly bonus to Leasing Team if Qtrly budget metrics are met* </t>
  </si>
  <si>
    <t xml:space="preserve">Update this table from Month end Roscoe report </t>
  </si>
  <si>
    <t>Montioring costs but unfortunately, OPS is taking</t>
  </si>
  <si>
    <t xml:space="preserve">a hit on some construction / unforeseen costs </t>
  </si>
  <si>
    <t xml:space="preserve">that weren't covered by project budget. </t>
  </si>
  <si>
    <t>March: 0 Expirations
April:  1 Lease Expiration - 1 Renewal Pending Decision
May:  2 Lease Expirations - 1 Renewal, 1 On-site Transfer 
June:  2 Lease Expirations - 2 Pending Decision</t>
  </si>
  <si>
    <r>
      <rPr>
        <sz val="8"/>
        <rFont val="Helvetica"/>
        <family val="2"/>
      </rPr>
      <t>7323H</t>
    </r>
  </si>
  <si>
    <r>
      <rPr>
        <sz val="8"/>
        <rFont val="Helvetica"/>
        <family val="2"/>
      </rPr>
      <t>t0879059</t>
    </r>
  </si>
  <si>
    <r>
      <rPr>
        <sz val="8"/>
        <rFont val="Helvetica"/>
        <family val="2"/>
      </rPr>
      <t>Onyedebelu, Chimdimma</t>
    </r>
  </si>
  <si>
    <r>
      <rPr>
        <sz val="8"/>
        <rFont val="Helvetica"/>
        <family val="2"/>
      </rPr>
      <t>7435H</t>
    </r>
  </si>
  <si>
    <t>22026F</t>
  </si>
  <si>
    <t>t0908304</t>
  </si>
  <si>
    <t>Maxwell, Felicia</t>
  </si>
  <si>
    <t>7306C</t>
  </si>
  <si>
    <t>t0913318</t>
  </si>
  <si>
    <t>Williams, Anthony</t>
  </si>
  <si>
    <t>22029L</t>
  </si>
  <si>
    <t>t0751889</t>
  </si>
  <si>
    <t>Current</t>
  </si>
  <si>
    <t>21914F</t>
  </si>
  <si>
    <t>t0836706</t>
  </si>
  <si>
    <t>Smith, Audrey</t>
  </si>
  <si>
    <t>21915M</t>
  </si>
  <si>
    <t>t0840997</t>
  </si>
  <si>
    <t>Hockaday, Gordon</t>
  </si>
  <si>
    <t>21938M</t>
  </si>
  <si>
    <t>t0748186</t>
  </si>
  <si>
    <t>Posadas, Yolanda</t>
  </si>
  <si>
    <t>21946M</t>
  </si>
  <si>
    <t>t0810731</t>
  </si>
  <si>
    <t>Odom, Clayton</t>
  </si>
  <si>
    <t>21950M</t>
  </si>
  <si>
    <t>t0845369</t>
  </si>
  <si>
    <t>Thomas, C Yvette</t>
  </si>
  <si>
    <t>22002F</t>
  </si>
  <si>
    <t>t0773895</t>
  </si>
  <si>
    <t>Agbo, Chinwe</t>
  </si>
  <si>
    <t>22011F</t>
  </si>
  <si>
    <t>t0737373</t>
  </si>
  <si>
    <t>Smith, Gabrielle</t>
  </si>
  <si>
    <t>Felicia Maxwell (onsite Transfer)</t>
  </si>
  <si>
    <t>Onsite Transfer 05/31/26</t>
  </si>
  <si>
    <r>
      <t xml:space="preserve"># of Move-outs / </t>
    </r>
    <r>
      <rPr>
        <sz val="11"/>
        <color rgb="FFC00000"/>
        <rFont val="Aptos Narrow"/>
        <family val="2"/>
        <scheme val="minor"/>
      </rPr>
      <t>transfers</t>
    </r>
  </si>
  <si>
    <t xml:space="preserve"># of Move-ins </t>
  </si>
  <si>
    <t>Bond app was submitted last Thursday. It was submitted expedited so TCEQ has 60 days to review, but sometimes it can take them a little longer depending on how many applications they have and the number of reviewers. Then typically another 60-90 days to fund. </t>
  </si>
  <si>
    <t>Bond App submitted on 04/02/26. Anticipate approval June / July 2026.</t>
  </si>
  <si>
    <t>7422 Hadley Meadow</t>
  </si>
  <si>
    <t>Ikenna Eseadum</t>
  </si>
  <si>
    <t>*5% Preferred Employer discount for 1st responders, medical and educational personnel discontinued in April</t>
  </si>
  <si>
    <r>
      <rPr>
        <sz val="11"/>
        <color theme="3"/>
        <rFont val="Aptos"/>
        <family val="2"/>
      </rPr>
      <t xml:space="preserve">Ending Occupancy </t>
    </r>
    <r>
      <rPr>
        <b/>
        <sz val="11"/>
        <color theme="3"/>
        <rFont val="Aptos"/>
        <family val="2"/>
      </rPr>
      <t xml:space="preserve">
</t>
    </r>
    <r>
      <rPr>
        <sz val="11"/>
        <color theme="3"/>
        <rFont val="Aptos"/>
        <family val="2"/>
      </rPr>
      <t>March</t>
    </r>
    <r>
      <rPr>
        <b/>
        <sz val="11"/>
        <color theme="3"/>
        <rFont val="Aptos"/>
        <family val="2"/>
      </rPr>
      <t xml:space="preserve"> Budget</t>
    </r>
  </si>
  <si>
    <r>
      <rPr>
        <sz val="11"/>
        <color theme="3"/>
        <rFont val="Aptos"/>
        <family val="2"/>
      </rPr>
      <t xml:space="preserve">Ending Occupancy </t>
    </r>
    <r>
      <rPr>
        <b/>
        <sz val="11"/>
        <color theme="3"/>
        <rFont val="Aptos"/>
        <family val="2"/>
      </rPr>
      <t xml:space="preserve">
</t>
    </r>
    <r>
      <rPr>
        <sz val="11"/>
        <color theme="3"/>
        <rFont val="Aptos"/>
        <family val="2"/>
      </rPr>
      <t>March</t>
    </r>
    <r>
      <rPr>
        <b/>
        <sz val="11"/>
        <color theme="3"/>
        <rFont val="Aptos"/>
        <family val="2"/>
      </rPr>
      <t xml:space="preserve"> Actual</t>
    </r>
  </si>
  <si>
    <t>CURRENT LEASING INCENTIVES</t>
  </si>
  <si>
    <t>TRAFFIC</t>
  </si>
  <si>
    <t>CAPITAL IMPVMTS/PY EXP</t>
  </si>
  <si>
    <t>Actual monthly weighted average occupancy was lower than budget, due to half of the move-ins occuring on the last 3 days of the month</t>
  </si>
  <si>
    <t>Came in lower on application &amp; lease admin fees, but double on pet fees.</t>
  </si>
  <si>
    <t>Under budget in payroll due to no svc mgr; mar</t>
  </si>
  <si>
    <t xml:space="preserve">The property was hit with $8,660 to cover the meditation park, which should have been a project cost, $2K for pool gate repairs, &amp; $3K PY expenses.  </t>
  </si>
  <si>
    <t>Operationally, the property was in budget.</t>
  </si>
  <si>
    <t>Going forward, any non-operational invoices will be sent to Ownership for review &amp; pmt.</t>
  </si>
  <si>
    <t>▪ Google Paid Search generated the highest volume of leads (62), followed by the Property Website (36) and Google Business Profile (29), making these the 
primary drivers of traffic.
▪ The Property Website was the top lease-driving source, highlighting its effectiveness in converting traffic into signed leases.
▪ Resident/Referral traffic, while low in volume, contributed to lease activity, demonstrating strong conversion from a smaller pool of leads.
▪ Zillow and Drive-by met lead-to-prospect benchmarks and showed strong progression to tours (with Zillow nearing the prospect-to-tour 
benchmark), but did not result in applications or leases, indicating a drop-off in the later stages of the funnel.</t>
  </si>
  <si>
    <t>6 weeks Free - Phoenix (Must move in by 04/30), plus $250</t>
  </si>
  <si>
    <t>Current Leasing Incentives, on a 13+ month lease:</t>
  </si>
  <si>
    <t>4 Weeks Free – Canary (Must move in by 04/30), plus $250. Mkt Rent incr to $2550</t>
  </si>
  <si>
    <t>6 Weeks Free – Sparrow (Must move in by 04/30), plus $250. Mkt rent decr to $2600</t>
  </si>
  <si>
    <t>2 Weeks Free – Mallard (Must move in by 04/30), plus $250. Mkt Rent incr. to $2850</t>
  </si>
  <si>
    <t>2 months Free with 15+ month lease – Raven, Falcon (Must move in by 04/30), plus $500*</t>
  </si>
  <si>
    <t>*Market rent reduced on Raven from $2950 to $2900 and reduce Falcon to $3100 from $3150.</t>
  </si>
  <si>
    <t>Waiting to hear back from Pelican on updates as they come.</t>
  </si>
  <si>
    <t>Pelican met with attorney to push Capital Builders to an agreement on final change order amount. Letter being drafted to CB.</t>
  </si>
  <si>
    <t>assumes 19 leases</t>
  </si>
  <si>
    <t>6 leases</t>
  </si>
  <si>
    <t>New Supervisor is Tony, started 03/31.</t>
  </si>
  <si>
    <t>Mar 2026</t>
  </si>
  <si>
    <t>Our leasing strategy is focused on incentivizing residents to move in by mid-month for the month to drive revenues up &amp; meet / exceed leasing goals for the month.  For April, we are short on our goals for ending occupancy and have adjusted specials to encourage lease-up through April to meet budget.</t>
  </si>
  <si>
    <t>Phoebo Akloyo</t>
  </si>
  <si>
    <t>7303 Leighton Meadow</t>
  </si>
  <si>
    <t xml:space="preserve"> Lease-Up / Inventory Report - March 2026</t>
  </si>
  <si>
    <t>Operational Performance Report -March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</si>
</sst>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#\ ???/???"/>
    <numFmt numFmtId="167" formatCode="_(* #,##0_);_(* \(#,##0\);_(* &quot;-&quot;??_);_(@_)"/>
    <numFmt numFmtId="168" formatCode="&quot;Phase&quot;\ 0"/>
    <numFmt numFmtId="169" formatCode="mm/dd/yyyy;@"/>
  </numFmts>
  <fonts count="1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11"/>
      <color theme="4" tint="-0.499984740745262"/>
      <name val="Aptos"/>
      <family val="2"/>
    </font>
    <font>
      <b/>
      <sz val="11"/>
      <color theme="3" tint="9.9978637043366805E-2"/>
      <name val="Aptos"/>
      <family val="2"/>
    </font>
    <font>
      <b/>
      <sz val="11"/>
      <name val="Aptos"/>
      <family val="2"/>
    </font>
    <font>
      <b/>
      <sz val="11"/>
      <color rgb="FFFF0000"/>
      <name val="Aptos"/>
      <family val="2"/>
    </font>
    <font>
      <b/>
      <i/>
      <sz val="10"/>
      <color rgb="FFFF0000"/>
      <name val="Aptos"/>
      <family val="2"/>
    </font>
    <font>
      <b/>
      <sz val="10"/>
      <color theme="4" tint="-0.499984740745262"/>
      <name val="Aptos"/>
      <family val="2"/>
    </font>
    <font>
      <b/>
      <sz val="9"/>
      <color theme="4" tint="-0.499984740745262"/>
      <name val="Aptos"/>
      <family val="2"/>
    </font>
    <font>
      <b/>
      <i/>
      <sz val="9"/>
      <color rgb="FFFF0000"/>
      <name val="Aptos"/>
      <family val="2"/>
    </font>
    <font>
      <b/>
      <sz val="9"/>
      <color rgb="FFFF0000"/>
      <name val="Aptos"/>
      <family val="2"/>
    </font>
    <font>
      <b/>
      <i/>
      <sz val="11"/>
      <color theme="5" tint="-0.249977111117893"/>
      <name val="Aptos"/>
      <family val="2"/>
    </font>
    <font>
      <b/>
      <sz val="11"/>
      <color theme="5" tint="-0.249977111117893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"/>
      <color rgb="FF000000"/>
      <name val="Courier New"/>
      <family val="3"/>
    </font>
    <font>
      <sz val="10"/>
      <color rgb="FF000000"/>
      <name val="Aptos"/>
      <family val="2"/>
    </font>
    <font>
      <sz val="10"/>
      <color rgb="FF000000"/>
      <name val="Times New Roman"/>
      <family val="1"/>
    </font>
    <font>
      <b/>
      <u/>
      <sz val="10.5"/>
      <color rgb="FF000000"/>
      <name val="Aptos"/>
      <family val="2"/>
    </font>
    <font>
      <b/>
      <sz val="10.5"/>
      <color rgb="FF000000"/>
      <name val="Aptos"/>
      <family val="2"/>
    </font>
    <font>
      <b/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rgb="FF0000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0.5"/>
      <color theme="1" tint="0.34998626667073579"/>
      <name val="Aptos Narrow"/>
      <family val="2"/>
      <scheme val="minor"/>
    </font>
    <font>
      <b/>
      <i/>
      <sz val="10.5"/>
      <color theme="1" tint="0.34998626667073579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rgb="FF000000"/>
      <name val="Aptos"/>
      <family val="2"/>
    </font>
    <font>
      <sz val="10.5"/>
      <color rgb="FF000000"/>
      <name val="Courier New"/>
      <family val="3"/>
    </font>
    <font>
      <sz val="10.5"/>
      <color rgb="FF000000"/>
      <name val="Times New Roman"/>
      <family val="1"/>
    </font>
    <font>
      <b/>
      <i/>
      <sz val="10.5"/>
      <color theme="1" tint="0.14999847407452621"/>
      <name val="Aptos Narrow"/>
      <family val="2"/>
      <scheme val="minor"/>
    </font>
    <font>
      <i/>
      <sz val="10.5"/>
      <color theme="1" tint="0.1499984740745262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i/>
      <sz val="10.5"/>
      <color theme="0" tint="-0.499984740745262"/>
      <name val="Aptos Narrow"/>
      <family val="2"/>
      <scheme val="minor"/>
    </font>
    <font>
      <sz val="10.5"/>
      <color theme="1" tint="0.149998474074526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9"/>
      <name val="Aptos Narrow"/>
      <family val="2"/>
      <scheme val="minor"/>
    </font>
    <font>
      <sz val="10.5"/>
      <color theme="0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sz val="10.5"/>
      <name val="Aptos Narrow"/>
      <family val="2"/>
      <scheme val="minor"/>
    </font>
    <font>
      <i/>
      <sz val="10.5"/>
      <name val="Aptos Narrow"/>
      <family val="2"/>
      <scheme val="minor"/>
    </font>
    <font>
      <b/>
      <sz val="10.5"/>
      <color theme="3" tint="0.249977111117893"/>
      <name val="Aptos Narrow"/>
      <family val="2"/>
      <scheme val="minor"/>
    </font>
    <font>
      <sz val="11"/>
      <color theme="1"/>
      <name val="Aptos Narrow"/>
      <family val="2"/>
    </font>
    <font>
      <i/>
      <sz val="10"/>
      <color theme="1" tint="0.34998626667073579"/>
      <name val="Aptos Narrow"/>
      <family val="2"/>
      <scheme val="minor"/>
    </font>
    <font>
      <b/>
      <i/>
      <sz val="10"/>
      <color theme="1" tint="0.34998626667073579"/>
      <name val="Aptos Narrow"/>
      <family val="2"/>
      <scheme val="minor"/>
    </font>
    <font>
      <b/>
      <sz val="10.5"/>
      <color theme="1" tint="0.34998626667073579"/>
      <name val="Aptos Narrow"/>
      <family val="2"/>
      <scheme val="minor"/>
    </font>
    <font>
      <sz val="10.5"/>
      <color theme="1" tint="0.34998626667073579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sz val="10"/>
      <color rgb="FF242424"/>
      <name val="Aptos"/>
      <family val="2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z val="10.5"/>
      <color theme="1"/>
      <name val="Aptos"/>
      <family val="2"/>
    </font>
    <font>
      <b/>
      <sz val="10.5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3"/>
      <name val="Aptos"/>
      <family val="2"/>
    </font>
    <font>
      <b/>
      <sz val="12"/>
      <color rgb="FFFF0000"/>
      <name val="Aptos"/>
      <family val="2"/>
    </font>
    <font>
      <b/>
      <sz val="20"/>
      <color theme="3"/>
      <name val="Aptos"/>
      <family val="2"/>
    </font>
    <font>
      <b/>
      <sz val="11"/>
      <color theme="3"/>
      <name val="Aptos"/>
      <family val="2"/>
    </font>
    <font>
      <b/>
      <sz val="10.5"/>
      <color theme="0"/>
      <name val="Aptos"/>
      <family val="2"/>
    </font>
    <font>
      <b/>
      <sz val="10.5"/>
      <name val="Aptos"/>
      <family val="2"/>
    </font>
    <font>
      <i/>
      <sz val="10.5"/>
      <name val="Aptos"/>
      <family val="2"/>
    </font>
    <font>
      <i/>
      <sz val="10.5"/>
      <color theme="1" tint="0.34998626667073579"/>
      <name val="Aptos"/>
      <family val="2"/>
    </font>
    <font>
      <i/>
      <sz val="10"/>
      <color theme="1" tint="0.34998626667073579"/>
      <name val="Aptos"/>
      <family val="2"/>
    </font>
    <font>
      <b/>
      <i/>
      <sz val="10"/>
      <color theme="1" tint="0.34998626667073579"/>
      <name val="Aptos"/>
      <family val="2"/>
    </font>
    <font>
      <b/>
      <i/>
      <sz val="10.5"/>
      <color theme="1" tint="0.34998626667073579"/>
      <name val="Aptos"/>
      <family val="2"/>
    </font>
    <font>
      <i/>
      <sz val="10.5"/>
      <color theme="0" tint="-0.499984740745262"/>
      <name val="Aptos"/>
      <family val="2"/>
    </font>
    <font>
      <b/>
      <sz val="10.5"/>
      <color theme="3" tint="0.249977111117893"/>
      <name val="Aptos"/>
      <family val="2"/>
    </font>
    <font>
      <sz val="10.5"/>
      <name val="Aptos"/>
      <family val="2"/>
    </font>
    <font>
      <i/>
      <sz val="9"/>
      <color theme="0" tint="-0.34998626667073579"/>
      <name val="Aptos"/>
      <family val="2"/>
    </font>
    <font>
      <i/>
      <sz val="9"/>
      <color theme="0"/>
      <name val="Aptos"/>
      <family val="2"/>
    </font>
    <font>
      <i/>
      <sz val="9"/>
      <name val="Aptos"/>
      <family val="2"/>
    </font>
    <font>
      <sz val="10.5"/>
      <color theme="0"/>
      <name val="Aptos"/>
      <family val="2"/>
    </font>
    <font>
      <sz val="10.5"/>
      <color rgb="FFFF0000"/>
      <name val="Aptos"/>
      <family val="2"/>
    </font>
    <font>
      <i/>
      <sz val="11"/>
      <color theme="1"/>
      <name val="Aptos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  <font>
      <u/>
      <sz val="11"/>
      <color theme="1"/>
      <name val="Aptos Narrow"/>
      <family val="2"/>
    </font>
    <font>
      <b/>
      <u/>
      <sz val="11"/>
      <color rgb="FFFF0000"/>
      <name val="Aptos Narrow"/>
      <family val="2"/>
    </font>
    <font>
      <b/>
      <sz val="11"/>
      <color rgb="FFFF0000"/>
      <name val="Aptos Narrow"/>
      <family val="2"/>
    </font>
    <font>
      <i/>
      <sz val="11"/>
      <color theme="9" tint="-0.249977111117893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i/>
      <sz val="11"/>
      <name val="Aptos Narrow"/>
      <family val="2"/>
    </font>
    <font>
      <b/>
      <sz val="11"/>
      <color theme="3" tint="0.249977111117893"/>
      <name val="Aptos Narrow"/>
      <family val="2"/>
    </font>
    <font>
      <sz val="11"/>
      <color rgb="FFFF0000"/>
      <name val="Aptos Narrow"/>
      <family val="2"/>
    </font>
    <font>
      <b/>
      <sz val="11"/>
      <color theme="4" tint="-0.499984740745262"/>
      <name val="Aptos Narrow"/>
      <family val="2"/>
    </font>
    <font>
      <b/>
      <i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i/>
      <sz val="12"/>
      <color theme="1"/>
      <name val="Aptos Narrow"/>
      <family val="2"/>
    </font>
    <font>
      <sz val="13"/>
      <color theme="1"/>
      <name val="Aptos Narrow"/>
      <family val="2"/>
    </font>
    <font>
      <b/>
      <sz val="13"/>
      <color theme="1"/>
      <name val="Aptos Narrow"/>
      <family val="2"/>
    </font>
    <font>
      <b/>
      <sz val="12"/>
      <color theme="4" tint="-0.499984740745262"/>
      <name val="Aptos Narrow"/>
      <family val="2"/>
    </font>
    <font>
      <sz val="12"/>
      <color theme="4" tint="-0.499984740745262"/>
      <name val="Aptos Narrow"/>
      <family val="2"/>
    </font>
    <font>
      <sz val="12"/>
      <color rgb="FFFF0000"/>
      <name val="Aptos Narrow"/>
      <family val="2"/>
    </font>
    <font>
      <b/>
      <sz val="16"/>
      <color theme="0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8"/>
      <name val="Helvetica"/>
      <family val="2"/>
    </font>
    <font>
      <sz val="8"/>
      <color rgb="FF000000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/>
      <name val="Aptos"/>
      <family val="2"/>
    </font>
    <font>
      <i/>
      <sz val="10.5"/>
      <color theme="5" tint="-0.249977111117893"/>
      <name val="Aptos"/>
      <family val="2"/>
    </font>
    <font>
      <b/>
      <i/>
      <sz val="10.5"/>
      <color rgb="FF242424"/>
      <name val="Aptos"/>
      <family val="2"/>
    </font>
    <font>
      <b/>
      <i/>
      <sz val="10.5"/>
      <color rgb="FF000000"/>
      <name val="Aptos"/>
      <family val="2"/>
    </font>
    <font>
      <b/>
      <i/>
      <sz val="12"/>
      <color theme="7" tint="-0.249977111117893"/>
      <name val="Aptos Narrow"/>
      <family val="2"/>
    </font>
    <font>
      <i/>
      <sz val="11"/>
      <color rgb="FFC00000"/>
      <name val="Aptos Narrow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sz val="8"/>
      <name val="Helvetica"/>
      <family val="2"/>
    </font>
    <font>
      <b/>
      <sz val="8"/>
      <color theme="0"/>
      <name val="Helvetica"/>
      <family val="2"/>
    </font>
    <font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1"/>
      <color theme="1"/>
      <name val="Aptos Narrow"/>
      <family val="2"/>
    </font>
    <font>
      <b/>
      <i/>
      <sz val="10.5"/>
      <color theme="5" tint="-0.249977111117893"/>
      <name val="Aptos"/>
      <family val="2"/>
    </font>
    <font>
      <sz val="11"/>
      <color theme="3"/>
      <name val="Aptos"/>
      <family val="2"/>
    </font>
    <font>
      <sz val="10"/>
      <name val="Aptos"/>
      <family val="2"/>
    </font>
    <font>
      <sz val="10"/>
      <color theme="1"/>
      <name val="Aptos Display"/>
      <family val="2"/>
    </font>
    <font>
      <sz val="11"/>
      <color rgb="FFC00000"/>
      <name val="Aptos Narrow"/>
      <family val="2"/>
    </font>
    <font>
      <sz val="11"/>
      <color rgb="FFC0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355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 tint="-4.9989318521683403E-2"/>
      </left>
      <right/>
      <top/>
      <bottom/>
      <diagonal/>
    </border>
    <border>
      <left/>
      <right style="thick">
        <color theme="0" tint="-4.9989318521683403E-2"/>
      </right>
      <top/>
      <bottom/>
      <diagonal/>
    </border>
    <border>
      <left style="thick">
        <color theme="0" tint="-4.9989318521683403E-2"/>
      </left>
      <right/>
      <top/>
      <bottom style="thin">
        <color indexed="64"/>
      </bottom>
      <diagonal/>
    </border>
    <border>
      <left/>
      <right style="thick">
        <color theme="0" tint="-4.9989318521683403E-2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theme="3" tint="9.9948118533890809E-2"/>
      </bottom>
      <diagonal/>
    </border>
    <border>
      <left style="thick">
        <color theme="0"/>
      </left>
      <right/>
      <top/>
      <bottom style="medium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3" tint="9.9917600024414813E-2"/>
      </left>
      <right style="medium">
        <color theme="3" tint="9.9917600024414813E-2"/>
      </right>
      <top style="medium">
        <color theme="3" tint="9.9917600024414813E-2"/>
      </top>
      <bottom style="medium">
        <color theme="3" tint="9.991760002441481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3" tint="9.9917600024414813E-2"/>
      </left>
      <right style="medium">
        <color theme="3" tint="9.9917600024414813E-2"/>
      </right>
      <top style="medium">
        <color theme="3" tint="9.9917600024414813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theme="0" tint="-4.9989318521683403E-2"/>
      </left>
      <right/>
      <top style="medium">
        <color indexed="64"/>
      </top>
      <bottom style="thick">
        <color theme="0" tint="-4.9989318521683403E-2"/>
      </bottom>
      <diagonal/>
    </border>
    <border>
      <left/>
      <right/>
      <top style="medium">
        <color indexed="64"/>
      </top>
      <bottom style="thick">
        <color theme="0" tint="-4.9989318521683403E-2"/>
      </bottom>
      <diagonal/>
    </border>
    <border>
      <left/>
      <right style="thick">
        <color theme="0" tint="-4.9989318521683403E-2"/>
      </right>
      <top style="medium">
        <color indexed="64"/>
      </top>
      <bottom style="thick">
        <color theme="0" tint="-4.9989318521683403E-2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 style="medium">
        <color theme="5" tint="-0.2499465926084170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5" tint="-0.499984740745262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medium">
        <color indexed="64"/>
      </right>
      <top/>
      <bottom style="thin">
        <color theme="5" tint="-0.24994659260841701"/>
      </bottom>
      <diagonal/>
    </border>
    <border>
      <left/>
      <right/>
      <top style="medium">
        <color indexed="64"/>
      </top>
      <bottom style="medium">
        <color theme="5" tint="-0.499984740745262"/>
      </bottom>
      <diagonal/>
    </border>
    <border>
      <left style="medium">
        <color indexed="64"/>
      </left>
      <right style="medium">
        <color theme="5" tint="-0.24994659260841701"/>
      </right>
      <top/>
      <bottom style="thin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5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5" tint="-0.24994659260841701"/>
      </top>
      <bottom style="thin">
        <color theme="5" tint="-0.2499465926084170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hair">
        <color indexed="64"/>
      </bottom>
      <diagonal/>
    </border>
    <border>
      <left/>
      <right style="thin">
        <color indexed="64"/>
      </right>
      <top style="thin">
        <color theme="0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theme="2" tint="-9.9978637043366805E-2"/>
      </bottom>
      <diagonal/>
    </border>
    <border>
      <left style="medium">
        <color indexed="64"/>
      </left>
      <right/>
      <top/>
      <bottom style="hair">
        <color theme="2" tint="-9.9978637043366805E-2"/>
      </bottom>
      <diagonal/>
    </border>
    <border>
      <left/>
      <right style="medium">
        <color indexed="64"/>
      </right>
      <top/>
      <bottom style="hair">
        <color theme="2" tint="-9.9978637043366805E-2"/>
      </bottom>
      <diagonal/>
    </border>
    <border>
      <left style="medium">
        <color indexed="64"/>
      </left>
      <right style="medium">
        <color indexed="64"/>
      </right>
      <top/>
      <bottom style="hair">
        <color theme="2" tint="-9.9978637043366805E-2"/>
      </bottom>
      <diagonal/>
    </border>
    <border>
      <left/>
      <right/>
      <top style="hair">
        <color theme="2" tint="-9.9978637043366805E-2"/>
      </top>
      <bottom style="thin">
        <color theme="1"/>
      </bottom>
      <diagonal/>
    </border>
    <border>
      <left style="medium">
        <color indexed="64"/>
      </left>
      <right/>
      <top style="hair">
        <color theme="2" tint="-9.9978637043366805E-2"/>
      </top>
      <bottom style="thin">
        <color theme="1"/>
      </bottom>
      <diagonal/>
    </border>
    <border>
      <left/>
      <right style="medium">
        <color indexed="64"/>
      </right>
      <top style="hair">
        <color theme="2" tint="-9.9978637043366805E-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hair">
        <color theme="2" tint="-9.9978637043366805E-2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/>
      <right/>
      <top style="hair">
        <color theme="2" tint="-9.9978637043366805E-2"/>
      </top>
      <bottom style="hair">
        <color theme="2" tint="-9.9978637043366805E-2"/>
      </bottom>
      <diagonal/>
    </border>
    <border>
      <left style="medium">
        <color indexed="64"/>
      </left>
      <right/>
      <top style="hair">
        <color theme="2" tint="-9.9978637043366805E-2"/>
      </top>
      <bottom style="hair">
        <color theme="2" tint="-9.9978637043366805E-2"/>
      </bottom>
      <diagonal/>
    </border>
    <border>
      <left/>
      <right style="medium">
        <color indexed="64"/>
      </right>
      <top style="hair">
        <color theme="2" tint="-9.9978637043366805E-2"/>
      </top>
      <bottom style="hair">
        <color theme="2" tint="-9.9978637043366805E-2"/>
      </bottom>
      <diagonal/>
    </border>
    <border>
      <left style="medium">
        <color indexed="64"/>
      </left>
      <right style="medium">
        <color indexed="64"/>
      </right>
      <top style="hair">
        <color theme="2" tint="-9.9978637043366805E-2"/>
      </top>
      <bottom style="hair">
        <color theme="2" tint="-9.9978637043366805E-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hair">
        <color theme="2" tint="-9.9978637043366805E-2"/>
      </bottom>
      <diagonal/>
    </border>
    <border>
      <left style="medium">
        <color indexed="64"/>
      </left>
      <right/>
      <top style="thin">
        <color theme="1"/>
      </top>
      <bottom style="hair">
        <color theme="2" tint="-9.9978637043366805E-2"/>
      </bottom>
      <diagonal/>
    </border>
    <border>
      <left/>
      <right style="medium">
        <color indexed="64"/>
      </right>
      <top style="thin">
        <color theme="1"/>
      </top>
      <bottom style="hair">
        <color theme="2" tint="-9.9978637043366805E-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hair">
        <color theme="2" tint="-9.9978637043366805E-2"/>
      </bottom>
      <diagonal/>
    </border>
    <border>
      <left style="thin">
        <color theme="1"/>
      </left>
      <right/>
      <top style="thin">
        <color theme="1"/>
      </top>
      <bottom style="hair">
        <color theme="2" tint="-0.249977111117893"/>
      </bottom>
      <diagonal/>
    </border>
    <border>
      <left/>
      <right/>
      <top style="thin">
        <color theme="1"/>
      </top>
      <bottom style="hair">
        <color theme="2" tint="-0.249977111117893"/>
      </bottom>
      <diagonal/>
    </border>
    <border>
      <left/>
      <right style="thin">
        <color theme="1"/>
      </right>
      <top style="thin">
        <color theme="1"/>
      </top>
      <bottom style="hair">
        <color theme="2" tint="-0.249977111117893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hair">
        <color theme="2" tint="-0.249977111117893"/>
      </top>
      <bottom/>
      <diagonal/>
    </border>
    <border>
      <left/>
      <right/>
      <top style="hair">
        <color theme="2" tint="-0.249977111117893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indexed="64"/>
      </right>
      <top style="thin">
        <color theme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theme="1"/>
      </top>
      <bottom style="hair">
        <color auto="1"/>
      </bottom>
      <diagonal/>
    </border>
    <border>
      <left style="thin">
        <color theme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hair">
        <color auto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hair">
        <color theme="2" tint="-0.249977111117893"/>
      </bottom>
      <diagonal/>
    </border>
    <border>
      <left/>
      <right/>
      <top style="thin">
        <color indexed="64"/>
      </top>
      <bottom style="hair">
        <color theme="2" tint="-0.249977111117893"/>
      </bottom>
      <diagonal/>
    </border>
    <border>
      <left/>
      <right style="medium">
        <color indexed="64"/>
      </right>
      <top style="thin">
        <color indexed="64"/>
      </top>
      <bottom style="hair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hair">
        <color theme="2" tint="-9.9978637043366805E-2"/>
      </top>
      <bottom/>
      <diagonal/>
    </border>
    <border>
      <left style="medium">
        <color indexed="64"/>
      </left>
      <right/>
      <top style="hair">
        <color theme="2" tint="-9.9978637043366805E-2"/>
      </top>
      <bottom/>
      <diagonal/>
    </border>
    <border>
      <left/>
      <right/>
      <top style="hair">
        <color theme="2" tint="-9.9978637043366805E-2"/>
      </top>
      <bottom/>
      <diagonal/>
    </border>
    <border>
      <left/>
      <right style="medium">
        <color indexed="64"/>
      </right>
      <top style="hair">
        <color theme="2" tint="-9.9978637043366805E-2"/>
      </top>
      <bottom/>
      <diagonal/>
    </border>
    <border>
      <left style="thin">
        <color indexed="64"/>
      </left>
      <right/>
      <top style="thin">
        <color indexed="64"/>
      </top>
      <bottom style="medium">
        <color theme="0" tint="-4.9989318521683403E-2"/>
      </bottom>
      <diagonal/>
    </border>
    <border>
      <left/>
      <right/>
      <top style="thin">
        <color indexed="64"/>
      </top>
      <bottom style="medium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/>
      <diagonal/>
    </border>
    <border>
      <left style="thick">
        <color theme="0" tint="-4.9989318521683403E-2"/>
      </left>
      <right style="thick">
        <color theme="0" tint="-4.9989318521683403E-2"/>
      </right>
      <top style="medium">
        <color indexed="64"/>
      </top>
      <bottom style="thick">
        <color theme="0" tint="-4.9989318521683403E-2"/>
      </bottom>
      <diagonal/>
    </border>
    <border>
      <left/>
      <right/>
      <top/>
      <bottom style="medium">
        <color rgb="FF0070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theme="1"/>
      </left>
      <right style="medium">
        <color theme="1"/>
      </right>
      <top style="hair">
        <color theme="2" tint="-0.249977111117893"/>
      </top>
      <bottom style="hair">
        <color theme="2" tint="-9.9978637043366805E-2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theme="2" tint="-0.249977111117893"/>
      </top>
      <bottom style="hair">
        <color theme="2" tint="-9.9978637043366805E-2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hair">
        <color theme="2" tint="-0.249977111117893"/>
      </right>
      <top style="hair">
        <color theme="2" tint="-0.249977111117893"/>
      </top>
      <bottom style="hair">
        <color theme="2" tint="-9.9978637043366805E-2"/>
      </bottom>
      <diagonal/>
    </border>
    <border>
      <left/>
      <right style="hair">
        <color theme="2" tint="-0.249977111117893"/>
      </right>
      <top/>
      <bottom style="medium">
        <color indexed="64"/>
      </bottom>
      <diagonal/>
    </border>
    <border>
      <left/>
      <right style="medium">
        <color auto="1"/>
      </right>
      <top style="medium">
        <color rgb="FF0070C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70C0"/>
      </top>
      <bottom/>
      <diagonal/>
    </border>
    <border>
      <left/>
      <right style="thin">
        <color indexed="64"/>
      </right>
      <top style="hair">
        <color theme="2" tint="-0.24997711111789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51">
    <xf numFmtId="0" fontId="0" fillId="0" borderId="0" xfId="0"/>
    <xf numFmtId="0" fontId="2" fillId="0" borderId="1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164" fontId="0" fillId="0" borderId="0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164" fontId="0" fillId="0" borderId="9" xfId="2" applyNumberFormat="1" applyFont="1" applyBorder="1"/>
    <xf numFmtId="0" fontId="0" fillId="0" borderId="13" xfId="0" applyBorder="1"/>
    <xf numFmtId="0" fontId="0" fillId="0" borderId="15" xfId="0" applyBorder="1"/>
    <xf numFmtId="0" fontId="2" fillId="0" borderId="9" xfId="0" applyFont="1" applyBorder="1"/>
    <xf numFmtId="0" fontId="2" fillId="0" borderId="2" xfId="0" applyFont="1" applyBorder="1"/>
    <xf numFmtId="0" fontId="2" fillId="0" borderId="4" xfId="0" applyFont="1" applyBorder="1"/>
    <xf numFmtId="0" fontId="2" fillId="2" borderId="1" xfId="0" applyFont="1" applyFill="1" applyBorder="1"/>
    <xf numFmtId="17" fontId="2" fillId="2" borderId="2" xfId="0" applyNumberFormat="1" applyFont="1" applyFill="1" applyBorder="1"/>
    <xf numFmtId="17" fontId="2" fillId="2" borderId="4" xfId="0" applyNumberFormat="1" applyFont="1" applyFill="1" applyBorder="1"/>
    <xf numFmtId="1" fontId="0" fillId="0" borderId="7" xfId="0" applyNumberFormat="1" applyBorder="1"/>
    <xf numFmtId="0" fontId="0" fillId="0" borderId="7" xfId="0" applyBorder="1"/>
    <xf numFmtId="17" fontId="2" fillId="2" borderId="19" xfId="0" applyNumberFormat="1" applyFont="1" applyFill="1" applyBorder="1"/>
    <xf numFmtId="1" fontId="0" fillId="0" borderId="6" xfId="0" applyNumberFormat="1" applyBorder="1"/>
    <xf numFmtId="164" fontId="0" fillId="0" borderId="10" xfId="2" applyNumberFormat="1" applyFont="1" applyBorder="1"/>
    <xf numFmtId="0" fontId="0" fillId="0" borderId="6" xfId="0" applyBorder="1"/>
    <xf numFmtId="17" fontId="2" fillId="2" borderId="3" xfId="0" applyNumberFormat="1" applyFont="1" applyFill="1" applyBorder="1"/>
    <xf numFmtId="0" fontId="0" fillId="0" borderId="14" xfId="0" applyBorder="1"/>
    <xf numFmtId="0" fontId="2" fillId="0" borderId="20" xfId="0" applyFont="1" applyBorder="1"/>
    <xf numFmtId="164" fontId="1" fillId="0" borderId="6" xfId="2" applyNumberFormat="1" applyFont="1" applyBorder="1"/>
    <xf numFmtId="164" fontId="1" fillId="0" borderId="9" xfId="2" applyNumberFormat="1" applyFont="1" applyBorder="1"/>
    <xf numFmtId="164" fontId="1" fillId="0" borderId="11" xfId="2" applyNumberFormat="1" applyFont="1" applyBorder="1"/>
    <xf numFmtId="17" fontId="0" fillId="0" borderId="0" xfId="0" applyNumberFormat="1"/>
    <xf numFmtId="0" fontId="2" fillId="3" borderId="21" xfId="0" applyFont="1" applyFill="1" applyBorder="1"/>
    <xf numFmtId="17" fontId="2" fillId="3" borderId="18" xfId="0" applyNumberFormat="1" applyFont="1" applyFill="1" applyBorder="1"/>
    <xf numFmtId="17" fontId="2" fillId="3" borderId="22" xfId="0" applyNumberFormat="1" applyFont="1" applyFill="1" applyBorder="1"/>
    <xf numFmtId="17" fontId="2" fillId="3" borderId="23" xfId="0" applyNumberFormat="1" applyFont="1" applyFill="1" applyBorder="1"/>
    <xf numFmtId="0" fontId="0" fillId="0" borderId="26" xfId="0" applyBorder="1"/>
    <xf numFmtId="164" fontId="0" fillId="0" borderId="27" xfId="2" applyNumberFormat="1" applyFont="1" applyBorder="1"/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30" xfId="0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4" fillId="0" borderId="24" xfId="0" applyFont="1" applyBorder="1"/>
    <xf numFmtId="1" fontId="4" fillId="0" borderId="6" xfId="0" applyNumberFormat="1" applyFont="1" applyBorder="1"/>
    <xf numFmtId="1" fontId="4" fillId="0" borderId="0" xfId="0" applyNumberFormat="1" applyFont="1"/>
    <xf numFmtId="1" fontId="4" fillId="0" borderId="25" xfId="0" applyNumberFormat="1" applyFont="1" applyBorder="1"/>
    <xf numFmtId="0" fontId="4" fillId="0" borderId="0" xfId="0" applyFont="1"/>
    <xf numFmtId="1" fontId="0" fillId="0" borderId="0" xfId="0" applyNumberFormat="1"/>
    <xf numFmtId="1" fontId="0" fillId="0" borderId="25" xfId="0" applyNumberFormat="1" applyBorder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horizontal="left"/>
    </xf>
    <xf numFmtId="164" fontId="0" fillId="0" borderId="0" xfId="2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49" fontId="6" fillId="8" borderId="31" xfId="0" applyNumberFormat="1" applyFont="1" applyFill="1" applyBorder="1" applyAlignment="1">
      <alignment horizontal="center" wrapText="1"/>
    </xf>
    <xf numFmtId="49" fontId="6" fillId="8" borderId="0" xfId="0" applyNumberFormat="1" applyFont="1" applyFill="1" applyAlignment="1">
      <alignment horizontal="center" wrapText="1"/>
    </xf>
    <xf numFmtId="49" fontId="6" fillId="9" borderId="0" xfId="0" applyNumberFormat="1" applyFont="1" applyFill="1" applyAlignment="1">
      <alignment horizontal="center" wrapText="1"/>
    </xf>
    <xf numFmtId="49" fontId="6" fillId="10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6" fillId="8" borderId="0" xfId="0" applyFont="1" applyFill="1" applyAlignment="1">
      <alignment horizontal="left" wrapText="1"/>
    </xf>
    <xf numFmtId="0" fontId="6" fillId="8" borderId="0" xfId="0" applyFont="1" applyFill="1" applyAlignment="1">
      <alignment horizontal="center" wrapText="1"/>
    </xf>
    <xf numFmtId="0" fontId="6" fillId="5" borderId="31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6" fillId="5" borderId="32" xfId="0" applyFont="1" applyFill="1" applyBorder="1" applyAlignment="1">
      <alignment horizontal="center" wrapText="1"/>
    </xf>
    <xf numFmtId="0" fontId="6" fillId="6" borderId="33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34" xfId="0" applyFont="1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49" fontId="6" fillId="9" borderId="35" xfId="0" applyNumberFormat="1" applyFont="1" applyFill="1" applyBorder="1" applyAlignment="1">
      <alignment horizontal="center" wrapText="1"/>
    </xf>
    <xf numFmtId="49" fontId="6" fillId="9" borderId="36" xfId="0" applyNumberFormat="1" applyFont="1" applyFill="1" applyBorder="1" applyAlignment="1">
      <alignment horizontal="center" wrapText="1"/>
    </xf>
    <xf numFmtId="0" fontId="6" fillId="13" borderId="0" xfId="0" applyFont="1" applyFill="1" applyAlignment="1">
      <alignment horizontal="center" wrapText="1"/>
    </xf>
    <xf numFmtId="49" fontId="6" fillId="11" borderId="31" xfId="0" applyNumberFormat="1" applyFont="1" applyFill="1" applyBorder="1" applyAlignment="1">
      <alignment horizontal="center" wrapText="1"/>
    </xf>
    <xf numFmtId="49" fontId="6" fillId="11" borderId="0" xfId="0" applyNumberFormat="1" applyFont="1" applyFill="1" applyAlignment="1">
      <alignment horizontal="center" wrapText="1"/>
    </xf>
    <xf numFmtId="0" fontId="6" fillId="14" borderId="31" xfId="0" applyFont="1" applyFill="1" applyBorder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1" applyNumberFormat="1" applyFont="1"/>
    <xf numFmtId="44" fontId="8" fillId="0" borderId="0" xfId="0" applyNumberFormat="1" applyFont="1"/>
    <xf numFmtId="165" fontId="8" fillId="0" borderId="0" xfId="0" applyNumberFormat="1" applyFont="1"/>
    <xf numFmtId="165" fontId="9" fillId="0" borderId="0" xfId="1" applyNumberFormat="1" applyFont="1"/>
    <xf numFmtId="44" fontId="8" fillId="0" borderId="0" xfId="1" applyFont="1"/>
    <xf numFmtId="165" fontId="10" fillId="0" borderId="35" xfId="0" applyNumberFormat="1" applyFont="1" applyBorder="1"/>
    <xf numFmtId="164" fontId="8" fillId="0" borderId="37" xfId="2" applyNumberFormat="1" applyFont="1" applyBorder="1"/>
    <xf numFmtId="165" fontId="11" fillId="0" borderId="0" xfId="1" applyNumberFormat="1" applyFont="1"/>
    <xf numFmtId="165" fontId="5" fillId="0" borderId="0" xfId="0" applyNumberFormat="1" applyFont="1"/>
    <xf numFmtId="164" fontId="7" fillId="0" borderId="0" xfId="2" applyNumberFormat="1" applyFont="1" applyAlignment="1">
      <alignment horizontal="center"/>
    </xf>
    <xf numFmtId="164" fontId="7" fillId="0" borderId="0" xfId="2" applyNumberFormat="1" applyFont="1" applyFill="1" applyAlignment="1">
      <alignment horizontal="center"/>
    </xf>
    <xf numFmtId="0" fontId="8" fillId="15" borderId="0" xfId="0" applyFont="1" applyFill="1"/>
    <xf numFmtId="0" fontId="8" fillId="15" borderId="0" xfId="0" applyFont="1" applyFill="1" applyAlignment="1">
      <alignment horizontal="left"/>
    </xf>
    <xf numFmtId="3" fontId="8" fillId="15" borderId="0" xfId="0" applyNumberFormat="1" applyFont="1" applyFill="1" applyAlignment="1">
      <alignment horizontal="left"/>
    </xf>
    <xf numFmtId="0" fontId="8" fillId="15" borderId="0" xfId="0" quotePrefix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165" fontId="8" fillId="15" borderId="0" xfId="1" applyNumberFormat="1" applyFont="1" applyFill="1"/>
    <xf numFmtId="44" fontId="8" fillId="15" borderId="0" xfId="0" applyNumberFormat="1" applyFont="1" applyFill="1"/>
    <xf numFmtId="165" fontId="8" fillId="15" borderId="0" xfId="0" applyNumberFormat="1" applyFont="1" applyFill="1"/>
    <xf numFmtId="44" fontId="8" fillId="15" borderId="0" xfId="1" applyFont="1" applyFill="1"/>
    <xf numFmtId="165" fontId="9" fillId="15" borderId="0" xfId="1" applyNumberFormat="1" applyFont="1" applyFill="1"/>
    <xf numFmtId="165" fontId="10" fillId="15" borderId="35" xfId="0" applyNumberFormat="1" applyFont="1" applyFill="1" applyBorder="1"/>
    <xf numFmtId="164" fontId="8" fillId="15" borderId="37" xfId="2" applyNumberFormat="1" applyFont="1" applyFill="1" applyBorder="1"/>
    <xf numFmtId="165" fontId="11" fillId="15" borderId="0" xfId="1" applyNumberFormat="1" applyFont="1" applyFill="1"/>
    <xf numFmtId="165" fontId="7" fillId="15" borderId="0" xfId="1" applyNumberFormat="1" applyFont="1" applyFill="1"/>
    <xf numFmtId="164" fontId="7" fillId="15" borderId="0" xfId="2" applyNumberFormat="1" applyFont="1" applyFill="1" applyAlignment="1">
      <alignment horizontal="center"/>
    </xf>
    <xf numFmtId="0" fontId="5" fillId="15" borderId="0" xfId="0" applyFont="1" applyFill="1"/>
    <xf numFmtId="165" fontId="11" fillId="0" borderId="0" xfId="1" applyNumberFormat="1" applyFont="1" applyFill="1"/>
    <xf numFmtId="165" fontId="11" fillId="0" borderId="0" xfId="0" applyNumberFormat="1" applyFont="1"/>
    <xf numFmtId="165" fontId="7" fillId="0" borderId="0" xfId="1" applyNumberFormat="1" applyFont="1"/>
    <xf numFmtId="165" fontId="11" fillId="15" borderId="0" xfId="0" applyNumberFormat="1" applyFont="1" applyFill="1"/>
    <xf numFmtId="0" fontId="8" fillId="15" borderId="38" xfId="0" applyFont="1" applyFill="1" applyBorder="1"/>
    <xf numFmtId="0" fontId="8" fillId="15" borderId="38" xfId="0" applyFont="1" applyFill="1" applyBorder="1" applyAlignment="1">
      <alignment horizontal="left"/>
    </xf>
    <xf numFmtId="3" fontId="8" fillId="15" borderId="38" xfId="0" applyNumberFormat="1" applyFont="1" applyFill="1" applyBorder="1" applyAlignment="1">
      <alignment horizontal="left"/>
    </xf>
    <xf numFmtId="0" fontId="8" fillId="15" borderId="38" xfId="0" quotePrefix="1" applyFont="1" applyFill="1" applyBorder="1" applyAlignment="1">
      <alignment horizontal="center"/>
    </xf>
    <xf numFmtId="0" fontId="8" fillId="15" borderId="38" xfId="0" applyFont="1" applyFill="1" applyBorder="1" applyAlignment="1">
      <alignment horizontal="center"/>
    </xf>
    <xf numFmtId="165" fontId="8" fillId="15" borderId="38" xfId="1" applyNumberFormat="1" applyFont="1" applyFill="1" applyBorder="1"/>
    <xf numFmtId="44" fontId="8" fillId="15" borderId="38" xfId="0" applyNumberFormat="1" applyFont="1" applyFill="1" applyBorder="1"/>
    <xf numFmtId="44" fontId="8" fillId="15" borderId="38" xfId="1" applyFont="1" applyFill="1" applyBorder="1"/>
    <xf numFmtId="165" fontId="8" fillId="15" borderId="0" xfId="1" applyNumberFormat="1" applyFont="1" applyFill="1" applyBorder="1"/>
    <xf numFmtId="165" fontId="9" fillId="15" borderId="38" xfId="1" applyNumberFormat="1" applyFont="1" applyFill="1" applyBorder="1"/>
    <xf numFmtId="165" fontId="8" fillId="15" borderId="29" xfId="0" applyNumberFormat="1" applyFont="1" applyFill="1" applyBorder="1"/>
    <xf numFmtId="44" fontId="8" fillId="15" borderId="29" xfId="0" applyNumberFormat="1" applyFont="1" applyFill="1" applyBorder="1"/>
    <xf numFmtId="165" fontId="10" fillId="15" borderId="39" xfId="0" applyNumberFormat="1" applyFont="1" applyFill="1" applyBorder="1"/>
    <xf numFmtId="164" fontId="8" fillId="15" borderId="40" xfId="2" applyNumberFormat="1" applyFont="1" applyFill="1" applyBorder="1"/>
    <xf numFmtId="164" fontId="7" fillId="15" borderId="29" xfId="2" applyNumberFormat="1" applyFont="1" applyFill="1" applyBorder="1" applyAlignment="1">
      <alignment horizontal="center"/>
    </xf>
    <xf numFmtId="164" fontId="7" fillId="0" borderId="29" xfId="2" applyNumberFormat="1" applyFont="1" applyFill="1" applyBorder="1" applyAlignment="1">
      <alignment horizontal="center"/>
    </xf>
    <xf numFmtId="165" fontId="8" fillId="0" borderId="41" xfId="0" applyNumberFormat="1" applyFont="1" applyBorder="1"/>
    <xf numFmtId="165" fontId="8" fillId="0" borderId="18" xfId="0" applyNumberFormat="1" applyFont="1" applyBorder="1"/>
    <xf numFmtId="164" fontId="8" fillId="0" borderId="0" xfId="2" applyNumberFormat="1" applyFont="1" applyBorder="1"/>
    <xf numFmtId="44" fontId="7" fillId="0" borderId="0" xfId="0" applyNumberFormat="1" applyFont="1"/>
    <xf numFmtId="165" fontId="8" fillId="0" borderId="42" xfId="0" applyNumberFormat="1" applyFont="1" applyBorder="1"/>
    <xf numFmtId="165" fontId="8" fillId="0" borderId="43" xfId="0" applyNumberFormat="1" applyFont="1" applyBorder="1"/>
    <xf numFmtId="164" fontId="8" fillId="0" borderId="0" xfId="2" applyNumberFormat="1" applyFont="1" applyFill="1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right"/>
    </xf>
    <xf numFmtId="9" fontId="16" fillId="0" borderId="0" xfId="2" applyFont="1"/>
    <xf numFmtId="9" fontId="15" fillId="0" borderId="0" xfId="2" applyFont="1"/>
    <xf numFmtId="9" fontId="17" fillId="0" borderId="0" xfId="2" applyFont="1" applyAlignment="1">
      <alignment horizontal="right"/>
    </xf>
    <xf numFmtId="0" fontId="15" fillId="0" borderId="21" xfId="0" applyFont="1" applyBorder="1"/>
    <xf numFmtId="0" fontId="13" fillId="0" borderId="29" xfId="0" applyFont="1" applyBorder="1"/>
    <xf numFmtId="165" fontId="18" fillId="0" borderId="16" xfId="1" applyNumberFormat="1" applyFont="1" applyBorder="1"/>
    <xf numFmtId="165" fontId="18" fillId="0" borderId="16" xfId="0" applyNumberFormat="1" applyFont="1" applyBorder="1"/>
    <xf numFmtId="0" fontId="19" fillId="0" borderId="0" xfId="0" applyFont="1"/>
    <xf numFmtId="164" fontId="18" fillId="0" borderId="18" xfId="2" applyNumberFormat="1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9" fontId="16" fillId="0" borderId="0" xfId="2" applyFont="1" applyFill="1"/>
    <xf numFmtId="9" fontId="15" fillId="0" borderId="0" xfId="2" applyFont="1" applyFill="1"/>
    <xf numFmtId="9" fontId="15" fillId="0" borderId="0" xfId="2" applyFont="1" applyFill="1" applyAlignment="1">
      <alignment horizontal="right"/>
    </xf>
    <xf numFmtId="164" fontId="15" fillId="0" borderId="0" xfId="2" applyNumberFormat="1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left" wrapText="1"/>
    </xf>
    <xf numFmtId="0" fontId="24" fillId="0" borderId="0" xfId="0" applyFont="1" applyAlignment="1">
      <alignment horizontal="left"/>
    </xf>
    <xf numFmtId="164" fontId="24" fillId="0" borderId="0" xfId="2" applyNumberFormat="1" applyFont="1" applyBorder="1" applyAlignment="1">
      <alignment horizontal="left"/>
    </xf>
    <xf numFmtId="9" fontId="24" fillId="0" borderId="0" xfId="2" applyFont="1" applyFill="1" applyBorder="1" applyAlignment="1">
      <alignment horizontal="left"/>
    </xf>
    <xf numFmtId="0" fontId="24" fillId="0" borderId="0" xfId="0" applyFont="1"/>
    <xf numFmtId="0" fontId="0" fillId="0" borderId="2" xfId="0" applyBorder="1"/>
    <xf numFmtId="0" fontId="25" fillId="0" borderId="0" xfId="0" applyFont="1"/>
    <xf numFmtId="0" fontId="2" fillId="0" borderId="0" xfId="0" applyFont="1" applyAlignment="1">
      <alignment horizontal="center" wrapText="1"/>
    </xf>
    <xf numFmtId="17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26" fillId="0" borderId="0" xfId="0" applyFont="1" applyAlignment="1">
      <alignment horizontal="left" vertical="center" indent="1"/>
    </xf>
    <xf numFmtId="44" fontId="22" fillId="0" borderId="0" xfId="1" applyFont="1" applyBorder="1" applyAlignment="1">
      <alignment horizontal="left"/>
    </xf>
    <xf numFmtId="0" fontId="22" fillId="0" borderId="0" xfId="0" applyFont="1" applyAlignment="1">
      <alignment horizontal="left" vertical="top" wrapText="1"/>
    </xf>
    <xf numFmtId="1" fontId="25" fillId="0" borderId="47" xfId="2" applyNumberFormat="1" applyFont="1" applyBorder="1" applyAlignment="1">
      <alignment horizontal="right"/>
    </xf>
    <xf numFmtId="0" fontId="24" fillId="0" borderId="17" xfId="0" applyFont="1" applyBorder="1"/>
    <xf numFmtId="0" fontId="24" fillId="0" borderId="50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29" fillId="0" borderId="0" xfId="0" applyFont="1" applyAlignment="1">
      <alignment vertical="center"/>
    </xf>
    <xf numFmtId="44" fontId="24" fillId="0" borderId="0" xfId="1" applyFont="1" applyBorder="1" applyAlignment="1">
      <alignment horizontal="left"/>
    </xf>
    <xf numFmtId="0" fontId="24" fillId="0" borderId="0" xfId="0" applyFont="1" applyAlignment="1">
      <alignment vertical="top" wrapText="1"/>
    </xf>
    <xf numFmtId="0" fontId="30" fillId="0" borderId="0" xfId="0" applyFont="1" applyAlignment="1">
      <alignment horizontal="left" vertical="center"/>
    </xf>
    <xf numFmtId="0" fontId="2" fillId="0" borderId="44" xfId="0" applyFont="1" applyBorder="1" applyAlignment="1">
      <alignment horizontal="left"/>
    </xf>
    <xf numFmtId="0" fontId="32" fillId="0" borderId="0" xfId="0" applyFont="1"/>
    <xf numFmtId="164" fontId="32" fillId="0" borderId="0" xfId="2" applyNumberFormat="1" applyFont="1" applyAlignment="1">
      <alignment horizontal="left"/>
    </xf>
    <xf numFmtId="0" fontId="2" fillId="16" borderId="0" xfId="0" applyFont="1" applyFill="1" applyAlignment="1">
      <alignment wrapText="1"/>
    </xf>
    <xf numFmtId="0" fontId="0" fillId="16" borderId="0" xfId="0" applyFill="1"/>
    <xf numFmtId="0" fontId="2" fillId="16" borderId="44" xfId="0" applyFont="1" applyFill="1" applyBorder="1"/>
    <xf numFmtId="0" fontId="2" fillId="16" borderId="44" xfId="0" applyFont="1" applyFill="1" applyBorder="1" applyAlignment="1">
      <alignment horizontal="left"/>
    </xf>
    <xf numFmtId="0" fontId="34" fillId="16" borderId="0" xfId="0" applyFont="1" applyFill="1"/>
    <xf numFmtId="0" fontId="25" fillId="0" borderId="0" xfId="0" applyFont="1" applyAlignment="1">
      <alignment horizontal="right"/>
    </xf>
    <xf numFmtId="0" fontId="31" fillId="0" borderId="0" xfId="0" applyFont="1" applyAlignment="1">
      <alignment horizontal="center"/>
    </xf>
    <xf numFmtId="17" fontId="25" fillId="4" borderId="46" xfId="0" applyNumberFormat="1" applyFont="1" applyFill="1" applyBorder="1"/>
    <xf numFmtId="0" fontId="37" fillId="0" borderId="0" xfId="0" applyFont="1"/>
    <xf numFmtId="164" fontId="37" fillId="0" borderId="0" xfId="2" applyNumberFormat="1" applyFont="1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9" fontId="24" fillId="0" borderId="17" xfId="2" applyFont="1" applyBorder="1"/>
    <xf numFmtId="9" fontId="25" fillId="0" borderId="17" xfId="2" applyFont="1" applyBorder="1"/>
    <xf numFmtId="0" fontId="25" fillId="0" borderId="0" xfId="0" applyFont="1" applyAlignment="1">
      <alignment horizontal="left"/>
    </xf>
    <xf numFmtId="0" fontId="25" fillId="0" borderId="0" xfId="0" applyFont="1" applyAlignment="1">
      <alignment wrapText="1"/>
    </xf>
    <xf numFmtId="0" fontId="25" fillId="4" borderId="0" xfId="0" applyFont="1" applyFill="1" applyAlignment="1">
      <alignment wrapText="1"/>
    </xf>
    <xf numFmtId="0" fontId="25" fillId="4" borderId="53" xfId="0" applyFont="1" applyFill="1" applyBorder="1" applyAlignment="1">
      <alignment horizontal="right" wrapText="1"/>
    </xf>
    <xf numFmtId="0" fontId="24" fillId="0" borderId="48" xfId="0" applyFont="1" applyBorder="1"/>
    <xf numFmtId="0" fontId="24" fillId="0" borderId="50" xfId="0" applyFont="1" applyBorder="1"/>
    <xf numFmtId="0" fontId="24" fillId="0" borderId="51" xfId="0" applyFont="1" applyBorder="1" applyAlignment="1">
      <alignment horizontal="left"/>
    </xf>
    <xf numFmtId="0" fontId="24" fillId="0" borderId="51" xfId="0" applyFont="1" applyBorder="1"/>
    <xf numFmtId="0" fontId="24" fillId="0" borderId="49" xfId="0" applyFont="1" applyBorder="1" applyAlignment="1">
      <alignment horizontal="left"/>
    </xf>
    <xf numFmtId="0" fontId="25" fillId="0" borderId="45" xfId="0" applyFont="1" applyBorder="1"/>
    <xf numFmtId="17" fontId="25" fillId="0" borderId="0" xfId="0" applyNumberFormat="1" applyFont="1" applyAlignment="1">
      <alignment horizontal="left" wrapText="1"/>
    </xf>
    <xf numFmtId="17" fontId="25" fillId="0" borderId="0" xfId="0" applyNumberFormat="1" applyFont="1" applyAlignment="1">
      <alignment horizontal="left"/>
    </xf>
    <xf numFmtId="0" fontId="24" fillId="4" borderId="55" xfId="0" applyFont="1" applyFill="1" applyBorder="1"/>
    <xf numFmtId="17" fontId="25" fillId="4" borderId="55" xfId="0" applyNumberFormat="1" applyFont="1" applyFill="1" applyBorder="1"/>
    <xf numFmtId="44" fontId="24" fillId="0" borderId="50" xfId="1" applyFont="1" applyBorder="1" applyAlignment="1">
      <alignment horizontal="left"/>
    </xf>
    <xf numFmtId="164" fontId="24" fillId="0" borderId="50" xfId="2" applyNumberFormat="1" applyFont="1" applyBorder="1" applyAlignment="1">
      <alignment horizontal="left"/>
    </xf>
    <xf numFmtId="0" fontId="24" fillId="0" borderId="56" xfId="0" applyFont="1" applyBorder="1"/>
    <xf numFmtId="164" fontId="24" fillId="0" borderId="56" xfId="2" applyNumberFormat="1" applyFont="1" applyBorder="1" applyAlignment="1">
      <alignment horizontal="left"/>
    </xf>
    <xf numFmtId="0" fontId="24" fillId="4" borderId="53" xfId="0" applyFont="1" applyFill="1" applyBorder="1"/>
    <xf numFmtId="17" fontId="25" fillId="4" borderId="53" xfId="0" applyNumberFormat="1" applyFont="1" applyFill="1" applyBorder="1"/>
    <xf numFmtId="17" fontId="25" fillId="0" borderId="0" xfId="0" applyNumberFormat="1" applyFont="1"/>
    <xf numFmtId="0" fontId="24" fillId="0" borderId="0" xfId="0" applyFont="1" applyAlignment="1">
      <alignment horizontal="left" vertical="top" wrapText="1"/>
    </xf>
    <xf numFmtId="9" fontId="24" fillId="0" borderId="0" xfId="2" applyFont="1" applyFill="1" applyBorder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left" vertical="center" indent="1"/>
    </xf>
    <xf numFmtId="0" fontId="41" fillId="0" borderId="0" xfId="0" applyFont="1" applyAlignment="1">
      <alignment horizontal="left" vertical="center" indent="1"/>
    </xf>
    <xf numFmtId="0" fontId="44" fillId="0" borderId="0" xfId="0" applyFont="1"/>
    <xf numFmtId="1" fontId="43" fillId="0" borderId="9" xfId="2" applyNumberFormat="1" applyFont="1" applyBorder="1" applyAlignment="1">
      <alignment horizontal="right"/>
    </xf>
    <xf numFmtId="0" fontId="25" fillId="0" borderId="61" xfId="0" applyFont="1" applyBorder="1"/>
    <xf numFmtId="0" fontId="46" fillId="0" borderId="0" xfId="0" applyFont="1"/>
    <xf numFmtId="0" fontId="47" fillId="0" borderId="0" xfId="0" applyFont="1"/>
    <xf numFmtId="0" fontId="25" fillId="20" borderId="0" xfId="0" applyFont="1" applyFill="1" applyAlignment="1">
      <alignment horizontal="center"/>
    </xf>
    <xf numFmtId="0" fontId="45" fillId="20" borderId="0" xfId="0" applyFont="1" applyFill="1" applyAlignment="1">
      <alignment horizontal="center"/>
    </xf>
    <xf numFmtId="0" fontId="24" fillId="0" borderId="60" xfId="0" applyFont="1" applyBorder="1"/>
    <xf numFmtId="166" fontId="25" fillId="0" borderId="0" xfId="0" applyNumberFormat="1" applyFont="1" applyAlignment="1">
      <alignment horizontal="center" vertical="center"/>
    </xf>
    <xf numFmtId="166" fontId="25" fillId="0" borderId="0" xfId="0" quotePrefix="1" applyNumberFormat="1" applyFont="1" applyAlignment="1">
      <alignment horizontal="center" vertical="center"/>
    </xf>
    <xf numFmtId="166" fontId="45" fillId="20" borderId="0" xfId="0" applyNumberFormat="1" applyFont="1" applyFill="1" applyAlignment="1">
      <alignment horizontal="center" vertical="center"/>
    </xf>
    <xf numFmtId="13" fontId="45" fillId="20" borderId="0" xfId="0" applyNumberFormat="1" applyFont="1" applyFill="1" applyAlignment="1">
      <alignment horizontal="center"/>
    </xf>
    <xf numFmtId="166" fontId="45" fillId="20" borderId="0" xfId="0" quotePrefix="1" applyNumberFormat="1" applyFont="1" applyFill="1" applyAlignment="1">
      <alignment horizontal="center"/>
    </xf>
    <xf numFmtId="0" fontId="45" fillId="20" borderId="62" xfId="0" applyFont="1" applyFill="1" applyBorder="1" applyAlignment="1">
      <alignment horizontal="left"/>
    </xf>
    <xf numFmtId="0" fontId="45" fillId="20" borderId="62" xfId="0" applyFont="1" applyFill="1" applyBorder="1" applyAlignment="1">
      <alignment horizontal="center"/>
    </xf>
    <xf numFmtId="0" fontId="24" fillId="0" borderId="62" xfId="0" applyFont="1" applyBorder="1"/>
    <xf numFmtId="166" fontId="25" fillId="0" borderId="62" xfId="0" applyNumberFormat="1" applyFont="1" applyBorder="1" applyAlignment="1">
      <alignment horizontal="center" vertical="center"/>
    </xf>
    <xf numFmtId="166" fontId="45" fillId="20" borderId="62" xfId="0" applyNumberFormat="1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/>
    </xf>
    <xf numFmtId="0" fontId="24" fillId="0" borderId="0" xfId="0" applyFont="1" applyAlignment="1">
      <alignment horizontal="right"/>
    </xf>
    <xf numFmtId="0" fontId="25" fillId="4" borderId="64" xfId="0" applyFont="1" applyFill="1" applyBorder="1" applyAlignment="1">
      <alignment horizontal="center"/>
    </xf>
    <xf numFmtId="0" fontId="24" fillId="0" borderId="17" xfId="0" applyFont="1" applyBorder="1" applyAlignment="1">
      <alignment horizontal="right"/>
    </xf>
    <xf numFmtId="0" fontId="24" fillId="4" borderId="17" xfId="0" applyFont="1" applyFill="1" applyBorder="1"/>
    <xf numFmtId="0" fontId="25" fillId="4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51" fillId="0" borderId="17" xfId="0" applyFont="1" applyBorder="1"/>
    <xf numFmtId="0" fontId="51" fillId="0" borderId="17" xfId="0" applyFont="1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0" fillId="16" borderId="5" xfId="0" applyFill="1" applyBorder="1"/>
    <xf numFmtId="0" fontId="0" fillId="23" borderId="17" xfId="0" applyFill="1" applyBorder="1"/>
    <xf numFmtId="14" fontId="0" fillId="23" borderId="17" xfId="0" applyNumberFormat="1" applyFill="1" applyBorder="1"/>
    <xf numFmtId="0" fontId="0" fillId="23" borderId="17" xfId="0" applyFill="1" applyBorder="1" applyAlignment="1">
      <alignment horizontal="center"/>
    </xf>
    <xf numFmtId="0" fontId="0" fillId="16" borderId="8" xfId="0" applyFill="1" applyBorder="1"/>
    <xf numFmtId="0" fontId="2" fillId="16" borderId="12" xfId="0" applyFont="1" applyFill="1" applyBorder="1"/>
    <xf numFmtId="0" fontId="2" fillId="0" borderId="13" xfId="0" applyFont="1" applyBorder="1"/>
    <xf numFmtId="0" fontId="2" fillId="0" borderId="15" xfId="0" applyFont="1" applyBorder="1"/>
    <xf numFmtId="0" fontId="0" fillId="0" borderId="17" xfId="0" applyBorder="1"/>
    <xf numFmtId="14" fontId="0" fillId="0" borderId="17" xfId="0" applyNumberFormat="1" applyBorder="1"/>
    <xf numFmtId="164" fontId="0" fillId="0" borderId="11" xfId="2" applyNumberFormat="1" applyFont="1" applyBorder="1"/>
    <xf numFmtId="0" fontId="0" fillId="0" borderId="63" xfId="0" applyBorder="1"/>
    <xf numFmtId="0" fontId="0" fillId="0" borderId="54" xfId="0" applyBorder="1"/>
    <xf numFmtId="0" fontId="0" fillId="0" borderId="4" xfId="0" applyBorder="1"/>
    <xf numFmtId="0" fontId="2" fillId="0" borderId="8" xfId="0" applyFont="1" applyBorder="1"/>
    <xf numFmtId="0" fontId="2" fillId="0" borderId="11" xfId="0" applyFont="1" applyBorder="1"/>
    <xf numFmtId="14" fontId="0" fillId="0" borderId="63" xfId="0" applyNumberFormat="1" applyBorder="1"/>
    <xf numFmtId="0" fontId="0" fillId="0" borderId="63" xfId="0" applyBorder="1" applyAlignment="1">
      <alignment horizontal="center"/>
    </xf>
    <xf numFmtId="0" fontId="0" fillId="0" borderId="66" xfId="0" applyBorder="1"/>
    <xf numFmtId="14" fontId="0" fillId="0" borderId="67" xfId="0" applyNumberFormat="1" applyBorder="1"/>
    <xf numFmtId="0" fontId="0" fillId="0" borderId="67" xfId="0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5" xfId="0" applyBorder="1"/>
    <xf numFmtId="14" fontId="0" fillId="0" borderId="17" xfId="0" applyNumberFormat="1" applyBorder="1" applyAlignment="1">
      <alignment horizontal="right"/>
    </xf>
    <xf numFmtId="14" fontId="48" fillId="0" borderId="17" xfId="0" applyNumberFormat="1" applyFont="1" applyBorder="1" applyAlignment="1">
      <alignment horizontal="right"/>
    </xf>
    <xf numFmtId="9" fontId="0" fillId="0" borderId="0" xfId="2" applyFont="1"/>
    <xf numFmtId="16" fontId="2" fillId="0" borderId="0" xfId="0" applyNumberFormat="1" applyFont="1"/>
    <xf numFmtId="0" fontId="0" fillId="16" borderId="17" xfId="0" applyFill="1" applyBorder="1"/>
    <xf numFmtId="14" fontId="0" fillId="16" borderId="17" xfId="0" applyNumberFormat="1" applyFill="1" applyBorder="1" applyAlignment="1">
      <alignment horizontal="right"/>
    </xf>
    <xf numFmtId="0" fontId="0" fillId="16" borderId="17" xfId="0" applyFill="1" applyBorder="1" applyAlignment="1">
      <alignment horizontal="center"/>
    </xf>
    <xf numFmtId="0" fontId="0" fillId="2" borderId="17" xfId="0" applyFill="1" applyBorder="1"/>
    <xf numFmtId="14" fontId="0" fillId="2" borderId="17" xfId="0" applyNumberFormat="1" applyFill="1" applyBorder="1"/>
    <xf numFmtId="0" fontId="0" fillId="2" borderId="17" xfId="0" applyFill="1" applyBorder="1" applyAlignment="1">
      <alignment horizontal="center"/>
    </xf>
    <xf numFmtId="0" fontId="0" fillId="24" borderId="17" xfId="0" applyFill="1" applyBorder="1" applyAlignment="1">
      <alignment horizontal="center"/>
    </xf>
    <xf numFmtId="0" fontId="0" fillId="24" borderId="17" xfId="0" applyFill="1" applyBorder="1"/>
    <xf numFmtId="14" fontId="0" fillId="24" borderId="17" xfId="0" applyNumberFormat="1" applyFill="1" applyBorder="1"/>
    <xf numFmtId="1" fontId="52" fillId="0" borderId="0" xfId="0" applyNumberFormat="1" applyFont="1"/>
    <xf numFmtId="0" fontId="53" fillId="0" borderId="0" xfId="0" applyFont="1"/>
    <xf numFmtId="0" fontId="25" fillId="4" borderId="69" xfId="0" applyFont="1" applyFill="1" applyBorder="1"/>
    <xf numFmtId="0" fontId="43" fillId="0" borderId="26" xfId="0" applyFont="1" applyBorder="1"/>
    <xf numFmtId="1" fontId="43" fillId="0" borderId="27" xfId="2" applyNumberFormat="1" applyFont="1" applyBorder="1" applyAlignment="1">
      <alignment horizontal="right"/>
    </xf>
    <xf numFmtId="0" fontId="37" fillId="0" borderId="24" xfId="0" applyFont="1" applyBorder="1"/>
    <xf numFmtId="0" fontId="25" fillId="0" borderId="76" xfId="0" applyFont="1" applyBorder="1"/>
    <xf numFmtId="1" fontId="25" fillId="0" borderId="77" xfId="2" applyNumberFormat="1" applyFont="1" applyBorder="1" applyAlignment="1">
      <alignment horizontal="right"/>
    </xf>
    <xf numFmtId="0" fontId="37" fillId="0" borderId="28" xfId="0" applyFont="1" applyBorder="1"/>
    <xf numFmtId="0" fontId="45" fillId="25" borderId="69" xfId="0" applyFont="1" applyFill="1" applyBorder="1"/>
    <xf numFmtId="1" fontId="53" fillId="0" borderId="0" xfId="0" applyNumberFormat="1" applyFont="1"/>
    <xf numFmtId="0" fontId="55" fillId="0" borderId="0" xfId="0" applyFont="1"/>
    <xf numFmtId="0" fontId="25" fillId="17" borderId="0" xfId="0" applyFont="1" applyFill="1" applyAlignment="1">
      <alignment horizontal="center"/>
    </xf>
    <xf numFmtId="1" fontId="53" fillId="0" borderId="29" xfId="0" applyNumberFormat="1" applyFont="1" applyBorder="1"/>
    <xf numFmtId="1" fontId="53" fillId="0" borderId="30" xfId="0" applyNumberFormat="1" applyFont="1" applyBorder="1"/>
    <xf numFmtId="0" fontId="54" fillId="25" borderId="78" xfId="0" applyFont="1" applyFill="1" applyBorder="1"/>
    <xf numFmtId="0" fontId="55" fillId="25" borderId="79" xfId="0" applyFont="1" applyFill="1" applyBorder="1"/>
    <xf numFmtId="17" fontId="45" fillId="25" borderId="83" xfId="0" applyNumberFormat="1" applyFont="1" applyFill="1" applyBorder="1"/>
    <xf numFmtId="17" fontId="45" fillId="25" borderId="80" xfId="0" applyNumberFormat="1" applyFont="1" applyFill="1" applyBorder="1"/>
    <xf numFmtId="0" fontId="54" fillId="25" borderId="84" xfId="0" applyFont="1" applyFill="1" applyBorder="1"/>
    <xf numFmtId="0" fontId="35" fillId="8" borderId="1" xfId="0" applyFont="1" applyFill="1" applyBorder="1"/>
    <xf numFmtId="16" fontId="35" fillId="8" borderId="2" xfId="0" applyNumberFormat="1" applyFont="1" applyFill="1" applyBorder="1"/>
    <xf numFmtId="16" fontId="35" fillId="8" borderId="4" xfId="0" applyNumberFormat="1" applyFont="1" applyFill="1" applyBorder="1"/>
    <xf numFmtId="17" fontId="35" fillId="8" borderId="2" xfId="0" applyNumberFormat="1" applyFont="1" applyFill="1" applyBorder="1"/>
    <xf numFmtId="17" fontId="35" fillId="8" borderId="4" xfId="0" applyNumberFormat="1" applyFont="1" applyFill="1" applyBorder="1"/>
    <xf numFmtId="1" fontId="2" fillId="0" borderId="5" xfId="0" applyNumberFormat="1" applyFont="1" applyBorder="1"/>
    <xf numFmtId="1" fontId="2" fillId="0" borderId="0" xfId="0" applyNumberFormat="1" applyFont="1"/>
    <xf numFmtId="1" fontId="2" fillId="0" borderId="7" xfId="0" applyNumberFormat="1" applyFont="1" applyBorder="1"/>
    <xf numFmtId="164" fontId="0" fillId="0" borderId="0" xfId="2" applyNumberFormat="1" applyFont="1" applyFill="1" applyBorder="1"/>
    <xf numFmtId="164" fontId="0" fillId="0" borderId="7" xfId="2" applyNumberFormat="1" applyFont="1" applyFill="1" applyBorder="1"/>
    <xf numFmtId="164" fontId="0" fillId="0" borderId="9" xfId="2" applyNumberFormat="1" applyFont="1" applyFill="1" applyBorder="1"/>
    <xf numFmtId="164" fontId="1" fillId="0" borderId="11" xfId="2" applyNumberFormat="1" applyFont="1" applyFill="1" applyBorder="1"/>
    <xf numFmtId="0" fontId="0" fillId="15" borderId="5" xfId="0" applyFill="1" applyBorder="1"/>
    <xf numFmtId="0" fontId="0" fillId="15" borderId="0" xfId="0" applyFill="1"/>
    <xf numFmtId="1" fontId="0" fillId="15" borderId="0" xfId="0" applyNumberFormat="1" applyFill="1"/>
    <xf numFmtId="1" fontId="0" fillId="15" borderId="7" xfId="0" applyNumberFormat="1" applyFill="1" applyBorder="1"/>
    <xf numFmtId="0" fontId="2" fillId="15" borderId="0" xfId="0" applyFont="1" applyFill="1"/>
    <xf numFmtId="0" fontId="0" fillId="15" borderId="64" xfId="0" applyFill="1" applyBorder="1"/>
    <xf numFmtId="0" fontId="56" fillId="0" borderId="0" xfId="0" applyFont="1"/>
    <xf numFmtId="0" fontId="39" fillId="18" borderId="0" xfId="0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45" fillId="6" borderId="42" xfId="0" applyFont="1" applyFill="1" applyBorder="1" applyAlignment="1">
      <alignment horizontal="center"/>
    </xf>
    <xf numFmtId="0" fontId="45" fillId="19" borderId="6" xfId="0" applyFont="1" applyFill="1" applyBorder="1" applyAlignment="1">
      <alignment horizontal="center"/>
    </xf>
    <xf numFmtId="1" fontId="43" fillId="0" borderId="10" xfId="2" applyNumberFormat="1" applyFont="1" applyBorder="1" applyAlignment="1">
      <alignment horizontal="right"/>
    </xf>
    <xf numFmtId="1" fontId="25" fillId="0" borderId="87" xfId="2" applyNumberFormat="1" applyFont="1" applyBorder="1" applyAlignment="1">
      <alignment horizontal="right"/>
    </xf>
    <xf numFmtId="0" fontId="25" fillId="17" borderId="42" xfId="0" applyFont="1" applyFill="1" applyBorder="1" applyAlignment="1">
      <alignment horizontal="center"/>
    </xf>
    <xf numFmtId="17" fontId="45" fillId="25" borderId="88" xfId="0" applyNumberFormat="1" applyFont="1" applyFill="1" applyBorder="1" applyAlignment="1">
      <alignment horizontal="right"/>
    </xf>
    <xf numFmtId="1" fontId="47" fillId="0" borderId="90" xfId="2" applyNumberFormat="1" applyFont="1" applyBorder="1" applyAlignment="1">
      <alignment horizontal="right"/>
    </xf>
    <xf numFmtId="1" fontId="53" fillId="0" borderId="16" xfId="0" applyNumberFormat="1" applyFont="1" applyBorder="1"/>
    <xf numFmtId="0" fontId="39" fillId="4" borderId="74" xfId="0" applyFont="1" applyFill="1" applyBorder="1"/>
    <xf numFmtId="38" fontId="24" fillId="4" borderId="0" xfId="2" applyNumberFormat="1" applyFont="1" applyFill="1" applyBorder="1"/>
    <xf numFmtId="38" fontId="24" fillId="4" borderId="6" xfId="2" applyNumberFormat="1" applyFont="1" applyFill="1" applyBorder="1"/>
    <xf numFmtId="0" fontId="25" fillId="4" borderId="75" xfId="0" applyFont="1" applyFill="1" applyBorder="1"/>
    <xf numFmtId="38" fontId="24" fillId="4" borderId="60" xfId="2" applyNumberFormat="1" applyFont="1" applyFill="1" applyBorder="1"/>
    <xf numFmtId="0" fontId="57" fillId="0" borderId="0" xfId="0" applyFont="1"/>
    <xf numFmtId="0" fontId="24" fillId="24" borderId="0" xfId="0" applyFont="1" applyFill="1"/>
    <xf numFmtId="0" fontId="25" fillId="4" borderId="24" xfId="0" applyFont="1" applyFill="1" applyBorder="1"/>
    <xf numFmtId="38" fontId="24" fillId="4" borderId="25" xfId="2" applyNumberFormat="1" applyFont="1" applyFill="1" applyBorder="1"/>
    <xf numFmtId="0" fontId="25" fillId="0" borderId="75" xfId="0" applyFont="1" applyBorder="1"/>
    <xf numFmtId="0" fontId="37" fillId="0" borderId="75" xfId="0" applyFont="1" applyBorder="1"/>
    <xf numFmtId="0" fontId="25" fillId="0" borderId="72" xfId="0" applyFont="1" applyBorder="1"/>
    <xf numFmtId="0" fontId="39" fillId="0" borderId="24" xfId="0" applyFont="1" applyBorder="1"/>
    <xf numFmtId="0" fontId="39" fillId="4" borderId="75" xfId="0" applyFont="1" applyFill="1" applyBorder="1"/>
    <xf numFmtId="1" fontId="24" fillId="0" borderId="81" xfId="0" applyNumberFormat="1" applyFont="1" applyBorder="1"/>
    <xf numFmtId="1" fontId="24" fillId="0" borderId="82" xfId="0" applyNumberFormat="1" applyFont="1" applyBorder="1"/>
    <xf numFmtId="1" fontId="24" fillId="0" borderId="89" xfId="0" applyNumberFormat="1" applyFont="1" applyBorder="1"/>
    <xf numFmtId="0" fontId="25" fillId="26" borderId="72" xfId="0" applyFont="1" applyFill="1" applyBorder="1"/>
    <xf numFmtId="1" fontId="47" fillId="28" borderId="68" xfId="2" applyNumberFormat="1" applyFont="1" applyFill="1" applyBorder="1" applyAlignment="1">
      <alignment horizontal="right"/>
    </xf>
    <xf numFmtId="1" fontId="47" fillId="28" borderId="71" xfId="2" applyNumberFormat="1" applyFont="1" applyFill="1" applyBorder="1" applyAlignment="1">
      <alignment horizontal="right"/>
    </xf>
    <xf numFmtId="0" fontId="59" fillId="0" borderId="0" xfId="0" applyFont="1" applyAlignment="1">
      <alignment horizontal="center"/>
    </xf>
    <xf numFmtId="0" fontId="59" fillId="0" borderId="0" xfId="0" applyFont="1"/>
    <xf numFmtId="3" fontId="59" fillId="0" borderId="0" xfId="0" applyNumberFormat="1" applyFont="1" applyAlignment="1">
      <alignment horizontal="right"/>
    </xf>
    <xf numFmtId="17" fontId="59" fillId="0" borderId="0" xfId="0" applyNumberFormat="1" applyFont="1" applyAlignment="1">
      <alignment horizontal="center"/>
    </xf>
    <xf numFmtId="14" fontId="59" fillId="0" borderId="0" xfId="0" applyNumberFormat="1" applyFont="1" applyAlignment="1">
      <alignment horizontal="center"/>
    </xf>
    <xf numFmtId="44" fontId="59" fillId="0" borderId="0" xfId="1" applyFont="1" applyFill="1" applyBorder="1" applyAlignment="1">
      <alignment horizontal="center"/>
    </xf>
    <xf numFmtId="167" fontId="59" fillId="0" borderId="0" xfId="3" applyNumberFormat="1" applyFont="1" applyFill="1" applyBorder="1" applyAlignment="1">
      <alignment horizontal="right"/>
    </xf>
    <xf numFmtId="3" fontId="59" fillId="0" borderId="0" xfId="3" applyNumberFormat="1" applyFont="1" applyFill="1" applyBorder="1" applyAlignment="1">
      <alignment horizontal="right"/>
    </xf>
    <xf numFmtId="44" fontId="59" fillId="29" borderId="0" xfId="1" applyFont="1" applyFill="1" applyBorder="1" applyAlignment="1">
      <alignment horizontal="center"/>
    </xf>
    <xf numFmtId="0" fontId="59" fillId="0" borderId="0" xfId="0" applyFont="1" applyAlignment="1">
      <alignment horizontal="right"/>
    </xf>
    <xf numFmtId="17" fontId="25" fillId="4" borderId="42" xfId="0" applyNumberFormat="1" applyFont="1" applyFill="1" applyBorder="1" applyAlignment="1">
      <alignment horizontal="center"/>
    </xf>
    <xf numFmtId="17" fontId="25" fillId="4" borderId="46" xfId="0" applyNumberFormat="1" applyFont="1" applyFill="1" applyBorder="1" applyAlignment="1">
      <alignment horizontal="center"/>
    </xf>
    <xf numFmtId="17" fontId="25" fillId="4" borderId="70" xfId="0" applyNumberFormat="1" applyFont="1" applyFill="1" applyBorder="1" applyAlignment="1">
      <alignment horizontal="center"/>
    </xf>
    <xf numFmtId="164" fontId="37" fillId="0" borderId="109" xfId="2" applyNumberFormat="1" applyFont="1" applyBorder="1" applyAlignment="1">
      <alignment horizontal="right"/>
    </xf>
    <xf numFmtId="0" fontId="39" fillId="0" borderId="109" xfId="0" applyFont="1" applyBorder="1" applyAlignment="1">
      <alignment horizontal="right"/>
    </xf>
    <xf numFmtId="0" fontId="62" fillId="26" borderId="109" xfId="0" applyFont="1" applyFill="1" applyBorder="1" applyAlignment="1">
      <alignment horizontal="right"/>
    </xf>
    <xf numFmtId="0" fontId="39" fillId="0" borderId="109" xfId="0" applyFont="1" applyBorder="1" applyAlignment="1">
      <alignment horizontal="center"/>
    </xf>
    <xf numFmtId="0" fontId="39" fillId="0" borderId="111" xfId="0" applyFont="1" applyBorder="1" applyAlignment="1">
      <alignment horizontal="center"/>
    </xf>
    <xf numFmtId="0" fontId="39" fillId="0" borderId="112" xfId="0" applyFont="1" applyBorder="1" applyAlignment="1">
      <alignment horizontal="center"/>
    </xf>
    <xf numFmtId="0" fontId="57" fillId="0" borderId="109" xfId="0" applyFont="1" applyBorder="1" applyAlignment="1">
      <alignment horizontal="center"/>
    </xf>
    <xf numFmtId="0" fontId="62" fillId="26" borderId="109" xfId="0" applyFont="1" applyFill="1" applyBorder="1" applyAlignment="1">
      <alignment horizontal="center"/>
    </xf>
    <xf numFmtId="0" fontId="62" fillId="26" borderId="111" xfId="0" applyFont="1" applyFill="1" applyBorder="1" applyAlignment="1">
      <alignment horizontal="center"/>
    </xf>
    <xf numFmtId="0" fontId="62" fillId="26" borderId="112" xfId="0" applyFont="1" applyFill="1" applyBorder="1" applyAlignment="1">
      <alignment horizontal="center"/>
    </xf>
    <xf numFmtId="0" fontId="63" fillId="0" borderId="109" xfId="0" applyFont="1" applyBorder="1" applyAlignment="1">
      <alignment horizontal="center"/>
    </xf>
    <xf numFmtId="164" fontId="37" fillId="0" borderId="109" xfId="2" applyNumberFormat="1" applyFont="1" applyBorder="1" applyAlignment="1">
      <alignment horizontal="center"/>
    </xf>
    <xf numFmtId="164" fontId="38" fillId="0" borderId="111" xfId="2" applyNumberFormat="1" applyFont="1" applyBorder="1" applyAlignment="1">
      <alignment horizontal="center"/>
    </xf>
    <xf numFmtId="164" fontId="38" fillId="0" borderId="112" xfId="2" applyNumberFormat="1" applyFont="1" applyBorder="1" applyAlignment="1">
      <alignment horizontal="center"/>
    </xf>
    <xf numFmtId="0" fontId="37" fillId="0" borderId="109" xfId="0" applyFont="1" applyBorder="1" applyAlignment="1">
      <alignment horizontal="center"/>
    </xf>
    <xf numFmtId="0" fontId="56" fillId="15" borderId="0" xfId="0" applyFont="1" applyFill="1"/>
    <xf numFmtId="1" fontId="25" fillId="27" borderId="13" xfId="0" applyNumberFormat="1" applyFont="1" applyFill="1" applyBorder="1"/>
    <xf numFmtId="1" fontId="58" fillId="0" borderId="13" xfId="0" applyNumberFormat="1" applyFont="1" applyBorder="1"/>
    <xf numFmtId="9" fontId="60" fillId="0" borderId="113" xfId="2" applyFont="1" applyBorder="1" applyAlignment="1">
      <alignment horizontal="center"/>
    </xf>
    <xf numFmtId="9" fontId="61" fillId="0" borderId="115" xfId="2" applyFont="1" applyBorder="1" applyAlignment="1">
      <alignment horizontal="center"/>
    </xf>
    <xf numFmtId="164" fontId="60" fillId="0" borderId="113" xfId="2" applyNumberFormat="1" applyFont="1" applyBorder="1" applyAlignment="1">
      <alignment horizontal="right"/>
    </xf>
    <xf numFmtId="9" fontId="61" fillId="0" borderId="116" xfId="2" applyFont="1" applyBorder="1" applyAlignment="1">
      <alignment horizontal="center"/>
    </xf>
    <xf numFmtId="9" fontId="60" fillId="0" borderId="113" xfId="0" applyNumberFormat="1" applyFont="1" applyBorder="1" applyAlignment="1">
      <alignment horizontal="center"/>
    </xf>
    <xf numFmtId="1" fontId="58" fillId="0" borderId="13" xfId="0" applyNumberFormat="1" applyFont="1" applyBorder="1" applyAlignment="1">
      <alignment horizontal="center"/>
    </xf>
    <xf numFmtId="1" fontId="58" fillId="0" borderId="65" xfId="0" applyNumberFormat="1" applyFont="1" applyBorder="1" applyAlignment="1">
      <alignment horizontal="center"/>
    </xf>
    <xf numFmtId="1" fontId="58" fillId="0" borderId="14" xfId="0" applyNumberFormat="1" applyFont="1" applyBorder="1" applyAlignment="1">
      <alignment horizontal="center"/>
    </xf>
    <xf numFmtId="0" fontId="39" fillId="0" borderId="109" xfId="0" applyFont="1" applyBorder="1" applyAlignment="1">
      <alignment horizontal="left"/>
    </xf>
    <xf numFmtId="0" fontId="62" fillId="26" borderId="109" xfId="0" applyFont="1" applyFill="1" applyBorder="1" applyAlignment="1">
      <alignment horizontal="left"/>
    </xf>
    <xf numFmtId="164" fontId="37" fillId="0" borderId="109" xfId="2" applyNumberFormat="1" applyFont="1" applyBorder="1" applyAlignment="1">
      <alignment horizontal="left"/>
    </xf>
    <xf numFmtId="164" fontId="37" fillId="0" borderId="118" xfId="2" applyNumberFormat="1" applyFont="1" applyBorder="1"/>
    <xf numFmtId="164" fontId="37" fillId="0" borderId="121" xfId="2" applyNumberFormat="1" applyFont="1" applyBorder="1"/>
    <xf numFmtId="164" fontId="37" fillId="0" borderId="121" xfId="2" applyNumberFormat="1" applyFont="1" applyBorder="1" applyAlignment="1">
      <alignment horizontal="center"/>
    </xf>
    <xf numFmtId="164" fontId="37" fillId="0" borderId="123" xfId="2" applyNumberFormat="1" applyFont="1" applyBorder="1" applyAlignment="1">
      <alignment horizontal="center"/>
    </xf>
    <xf numFmtId="164" fontId="37" fillId="0" borderId="124" xfId="2" applyNumberFormat="1" applyFont="1" applyBorder="1" applyAlignment="1">
      <alignment horizontal="center"/>
    </xf>
    <xf numFmtId="0" fontId="37" fillId="0" borderId="121" xfId="0" applyFont="1" applyBorder="1" applyAlignment="1">
      <alignment horizontal="center"/>
    </xf>
    <xf numFmtId="9" fontId="60" fillId="0" borderId="118" xfId="2" applyFont="1" applyBorder="1" applyAlignment="1">
      <alignment horizontal="center"/>
    </xf>
    <xf numFmtId="9" fontId="61" fillId="0" borderId="119" xfId="2" applyFont="1" applyBorder="1" applyAlignment="1">
      <alignment horizontal="center"/>
    </xf>
    <xf numFmtId="164" fontId="60" fillId="0" borderId="118" xfId="2" applyNumberFormat="1" applyFont="1" applyBorder="1"/>
    <xf numFmtId="9" fontId="61" fillId="0" borderId="120" xfId="2" applyFont="1" applyBorder="1" applyAlignment="1">
      <alignment horizontal="center"/>
    </xf>
    <xf numFmtId="9" fontId="60" fillId="0" borderId="118" xfId="0" applyNumberFormat="1" applyFont="1" applyBorder="1" applyAlignment="1">
      <alignment horizontal="center"/>
    </xf>
    <xf numFmtId="38" fontId="24" fillId="9" borderId="0" xfId="2" applyNumberFormat="1" applyFont="1" applyFill="1" applyBorder="1"/>
    <xf numFmtId="38" fontId="24" fillId="0" borderId="118" xfId="2" applyNumberFormat="1" applyFont="1" applyFill="1" applyBorder="1"/>
    <xf numFmtId="38" fontId="22" fillId="0" borderId="118" xfId="2" applyNumberFormat="1" applyFont="1" applyFill="1" applyBorder="1" applyAlignment="1">
      <alignment horizontal="center"/>
    </xf>
    <xf numFmtId="38" fontId="22" fillId="0" borderId="120" xfId="2" applyNumberFormat="1" applyFont="1" applyFill="1" applyBorder="1" applyAlignment="1">
      <alignment horizontal="center"/>
    </xf>
    <xf numFmtId="0" fontId="23" fillId="0" borderId="118" xfId="0" applyFont="1" applyBorder="1" applyAlignment="1">
      <alignment horizontal="center"/>
    </xf>
    <xf numFmtId="38" fontId="22" fillId="4" borderId="60" xfId="2" applyNumberFormat="1" applyFont="1" applyFill="1" applyBorder="1" applyAlignment="1">
      <alignment horizontal="center"/>
    </xf>
    <xf numFmtId="38" fontId="22" fillId="4" borderId="86" xfId="2" applyNumberFormat="1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164" fontId="60" fillId="0" borderId="0" xfId="2" applyNumberFormat="1" applyFont="1" applyBorder="1" applyAlignment="1">
      <alignment horizontal="center"/>
    </xf>
    <xf numFmtId="164" fontId="61" fillId="0" borderId="25" xfId="2" applyNumberFormat="1" applyFont="1" applyBorder="1" applyAlignment="1">
      <alignment horizontal="center"/>
    </xf>
    <xf numFmtId="164" fontId="61" fillId="0" borderId="6" xfId="2" applyNumberFormat="1" applyFont="1" applyBorder="1" applyAlignment="1">
      <alignment horizontal="center"/>
    </xf>
    <xf numFmtId="0" fontId="60" fillId="0" borderId="0" xfId="0" applyFont="1" applyAlignment="1">
      <alignment horizontal="center"/>
    </xf>
    <xf numFmtId="164" fontId="37" fillId="0" borderId="113" xfId="2" applyNumberFormat="1" applyFont="1" applyBorder="1" applyAlignment="1">
      <alignment horizontal="left"/>
    </xf>
    <xf numFmtId="38" fontId="22" fillId="4" borderId="127" xfId="2" applyNumberFormat="1" applyFont="1" applyFill="1" applyBorder="1" applyAlignment="1">
      <alignment horizontal="center"/>
    </xf>
    <xf numFmtId="38" fontId="22" fillId="4" borderId="129" xfId="2" applyNumberFormat="1" applyFont="1" applyFill="1" applyBorder="1" applyAlignment="1">
      <alignment horizontal="center"/>
    </xf>
    <xf numFmtId="38" fontId="24" fillId="4" borderId="127" xfId="2" applyNumberFormat="1" applyFont="1" applyFill="1" applyBorder="1"/>
    <xf numFmtId="38" fontId="22" fillId="4" borderId="130" xfId="2" applyNumberFormat="1" applyFont="1" applyFill="1" applyBorder="1" applyAlignment="1">
      <alignment horizontal="center"/>
    </xf>
    <xf numFmtId="0" fontId="23" fillId="0" borderId="127" xfId="0" applyFont="1" applyBorder="1" applyAlignment="1">
      <alignment horizontal="center"/>
    </xf>
    <xf numFmtId="164" fontId="63" fillId="0" borderId="0" xfId="2" applyNumberFormat="1" applyFont="1" applyFill="1" applyAlignment="1">
      <alignment horizontal="right"/>
    </xf>
    <xf numFmtId="9" fontId="65" fillId="0" borderId="0" xfId="2" applyFont="1" applyFill="1" applyAlignment="1">
      <alignment horizontal="center"/>
    </xf>
    <xf numFmtId="9" fontId="65" fillId="0" borderId="0" xfId="0" applyNumberFormat="1" applyFont="1" applyAlignment="1">
      <alignment horizontal="center"/>
    </xf>
    <xf numFmtId="1" fontId="39" fillId="31" borderId="0" xfId="0" applyNumberFormat="1" applyFont="1" applyFill="1"/>
    <xf numFmtId="1" fontId="39" fillId="31" borderId="25" xfId="0" applyNumberFormat="1" applyFont="1" applyFill="1" applyBorder="1"/>
    <xf numFmtId="1" fontId="39" fillId="31" borderId="6" xfId="0" applyNumberFormat="1" applyFont="1" applyFill="1" applyBorder="1"/>
    <xf numFmtId="0" fontId="46" fillId="31" borderId="0" xfId="0" applyFont="1" applyFill="1"/>
    <xf numFmtId="0" fontId="45" fillId="31" borderId="3" xfId="0" applyFont="1" applyFill="1" applyBorder="1" applyAlignment="1">
      <alignment horizontal="center"/>
    </xf>
    <xf numFmtId="0" fontId="24" fillId="31" borderId="0" xfId="0" applyFont="1" applyFill="1"/>
    <xf numFmtId="0" fontId="24" fillId="20" borderId="0" xfId="0" applyFont="1" applyFill="1" applyAlignment="1">
      <alignment horizontal="left" vertical="top" wrapText="1"/>
    </xf>
    <xf numFmtId="0" fontId="24" fillId="20" borderId="0" xfId="0" applyFont="1" applyFill="1"/>
    <xf numFmtId="0" fontId="24" fillId="0" borderId="0" xfId="0" applyFont="1" applyAlignment="1">
      <alignment horizontal="center" vertical="top" wrapText="1"/>
    </xf>
    <xf numFmtId="1" fontId="24" fillId="0" borderId="0" xfId="2" applyNumberFormat="1" applyFont="1" applyFill="1" applyBorder="1" applyAlignment="1">
      <alignment horizontal="center"/>
    </xf>
    <xf numFmtId="0" fontId="24" fillId="0" borderId="135" xfId="0" applyFont="1" applyBorder="1"/>
    <xf numFmtId="0" fontId="24" fillId="0" borderId="137" xfId="0" applyFont="1" applyBorder="1"/>
    <xf numFmtId="0" fontId="24" fillId="0" borderId="132" xfId="0" applyFont="1" applyBorder="1" applyAlignment="1">
      <alignment horizontal="center" vertical="top" wrapText="1"/>
    </xf>
    <xf numFmtId="0" fontId="24" fillId="0" borderId="133" xfId="0" applyFont="1" applyBorder="1" applyAlignment="1">
      <alignment horizontal="center"/>
    </xf>
    <xf numFmtId="44" fontId="24" fillId="0" borderId="134" xfId="1" applyFont="1" applyBorder="1" applyAlignment="1">
      <alignment horizontal="left"/>
    </xf>
    <xf numFmtId="44" fontId="24" fillId="0" borderId="136" xfId="1" applyFont="1" applyBorder="1" applyAlignment="1">
      <alignment horizontal="left"/>
    </xf>
    <xf numFmtId="44" fontId="24" fillId="0" borderId="118" xfId="1" applyFont="1" applyBorder="1" applyAlignment="1">
      <alignment horizontal="left"/>
    </xf>
    <xf numFmtId="0" fontId="24" fillId="0" borderId="118" xfId="0" applyFont="1" applyBorder="1" applyAlignment="1">
      <alignment horizontal="center" vertical="top" wrapText="1"/>
    </xf>
    <xf numFmtId="0" fontId="24" fillId="0" borderId="118" xfId="0" applyFont="1" applyBorder="1" applyAlignment="1">
      <alignment vertical="top" wrapText="1"/>
    </xf>
    <xf numFmtId="0" fontId="41" fillId="0" borderId="118" xfId="0" applyFont="1" applyBorder="1" applyAlignment="1">
      <alignment horizontal="left" vertical="center" indent="1"/>
    </xf>
    <xf numFmtId="1" fontId="24" fillId="0" borderId="140" xfId="2" applyNumberFormat="1" applyFont="1" applyFill="1" applyBorder="1" applyAlignment="1"/>
    <xf numFmtId="1" fontId="24" fillId="0" borderId="139" xfId="2" applyNumberFormat="1" applyFont="1" applyFill="1" applyBorder="1" applyAlignment="1">
      <alignment horizontal="left"/>
    </xf>
    <xf numFmtId="0" fontId="39" fillId="0" borderId="134" xfId="0" applyFont="1" applyBorder="1" applyAlignment="1">
      <alignment horizontal="left"/>
    </xf>
    <xf numFmtId="44" fontId="24" fillId="15" borderId="50" xfId="1" applyFont="1" applyFill="1" applyBorder="1" applyAlignment="1">
      <alignment horizontal="left"/>
    </xf>
    <xf numFmtId="44" fontId="24" fillId="15" borderId="56" xfId="1" applyFont="1" applyFill="1" applyBorder="1" applyAlignment="1">
      <alignment horizontal="left"/>
    </xf>
    <xf numFmtId="44" fontId="24" fillId="15" borderId="0" xfId="1" applyFont="1" applyFill="1" applyBorder="1" applyAlignment="1">
      <alignment horizontal="left"/>
    </xf>
    <xf numFmtId="0" fontId="25" fillId="17" borderId="125" xfId="0" applyFont="1" applyFill="1" applyBorder="1" applyAlignment="1">
      <alignment horizontal="center"/>
    </xf>
    <xf numFmtId="0" fontId="25" fillId="0" borderId="142" xfId="0" applyFont="1" applyBorder="1" applyAlignment="1">
      <alignment wrapText="1"/>
    </xf>
    <xf numFmtId="0" fontId="25" fillId="4" borderId="143" xfId="0" applyFont="1" applyFill="1" applyBorder="1" applyAlignment="1">
      <alignment horizontal="right" wrapText="1"/>
    </xf>
    <xf numFmtId="0" fontId="24" fillId="0" borderId="144" xfId="0" applyFont="1" applyBorder="1"/>
    <xf numFmtId="0" fontId="24" fillId="0" borderId="145" xfId="0" applyFont="1" applyBorder="1"/>
    <xf numFmtId="0" fontId="24" fillId="0" borderId="146" xfId="0" applyFont="1" applyBorder="1"/>
    <xf numFmtId="0" fontId="25" fillId="4" borderId="149" xfId="0" applyFont="1" applyFill="1" applyBorder="1" applyAlignment="1">
      <alignment horizontal="right" wrapText="1"/>
    </xf>
    <xf numFmtId="0" fontId="25" fillId="4" borderId="150" xfId="0" applyFont="1" applyFill="1" applyBorder="1" applyAlignment="1">
      <alignment horizontal="right" wrapText="1"/>
    </xf>
    <xf numFmtId="0" fontId="24" fillId="0" borderId="148" xfId="0" applyFont="1" applyBorder="1"/>
    <xf numFmtId="0" fontId="24" fillId="0" borderId="151" xfId="0" applyFont="1" applyBorder="1"/>
    <xf numFmtId="0" fontId="24" fillId="0" borderId="152" xfId="0" applyFont="1" applyBorder="1"/>
    <xf numFmtId="0" fontId="25" fillId="0" borderId="135" xfId="0" applyFont="1" applyBorder="1"/>
    <xf numFmtId="0" fontId="25" fillId="0" borderId="153" xfId="0" applyFont="1" applyBorder="1"/>
    <xf numFmtId="0" fontId="25" fillId="0" borderId="154" xfId="0" applyFont="1" applyBorder="1"/>
    <xf numFmtId="0" fontId="25" fillId="0" borderId="137" xfId="0" applyFont="1" applyBorder="1"/>
    <xf numFmtId="0" fontId="59" fillId="32" borderId="0" xfId="0" applyFont="1" applyFill="1"/>
    <xf numFmtId="44" fontId="59" fillId="32" borderId="0" xfId="1" applyFont="1" applyFill="1" applyBorder="1" applyAlignment="1">
      <alignment horizontal="center"/>
    </xf>
    <xf numFmtId="0" fontId="2" fillId="16" borderId="0" xfId="0" applyFont="1" applyFill="1" applyAlignment="1">
      <alignment horizontal="center" wrapText="1"/>
    </xf>
    <xf numFmtId="0" fontId="0" fillId="16" borderId="0" xfId="0" applyFill="1" applyAlignment="1">
      <alignment horizontal="center"/>
    </xf>
    <xf numFmtId="0" fontId="2" fillId="16" borderId="44" xfId="0" applyFont="1" applyFill="1" applyBorder="1" applyAlignment="1">
      <alignment horizontal="center"/>
    </xf>
    <xf numFmtId="0" fontId="34" fillId="16" borderId="0" xfId="0" applyFont="1" applyFill="1" applyAlignment="1">
      <alignment horizontal="center"/>
    </xf>
    <xf numFmtId="9" fontId="34" fillId="16" borderId="0" xfId="2" applyFont="1" applyFill="1" applyAlignment="1">
      <alignment horizontal="center"/>
    </xf>
    <xf numFmtId="0" fontId="32" fillId="16" borderId="0" xfId="0" applyFont="1" applyFill="1" applyAlignment="1">
      <alignment horizontal="center"/>
    </xf>
    <xf numFmtId="0" fontId="30" fillId="0" borderId="13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17" fontId="35" fillId="8" borderId="19" xfId="0" applyNumberFormat="1" applyFont="1" applyFill="1" applyBorder="1"/>
    <xf numFmtId="1" fontId="52" fillId="0" borderId="6" xfId="0" applyNumberFormat="1" applyFont="1" applyBorder="1"/>
    <xf numFmtId="164" fontId="0" fillId="0" borderId="6" xfId="2" applyNumberFormat="1" applyFont="1" applyFill="1" applyBorder="1"/>
    <xf numFmtId="0" fontId="2" fillId="0" borderId="14" xfId="0" applyFont="1" applyBorder="1"/>
    <xf numFmtId="0" fontId="0" fillId="0" borderId="64" xfId="0" applyBorder="1"/>
    <xf numFmtId="0" fontId="59" fillId="0" borderId="0" xfId="0" applyFont="1" applyAlignment="1">
      <alignment horizontal="left"/>
    </xf>
    <xf numFmtId="0" fontId="0" fillId="16" borderId="44" xfId="0" applyFill="1" applyBorder="1"/>
    <xf numFmtId="0" fontId="0" fillId="16" borderId="44" xfId="0" applyFill="1" applyBorder="1" applyAlignment="1">
      <alignment horizontal="center"/>
    </xf>
    <xf numFmtId="0" fontId="2" fillId="16" borderId="0" xfId="0" applyFont="1" applyFill="1"/>
    <xf numFmtId="0" fontId="67" fillId="0" borderId="17" xfId="0" applyFont="1" applyBorder="1" applyAlignment="1">
      <alignment horizontal="center"/>
    </xf>
    <xf numFmtId="0" fontId="67" fillId="22" borderId="17" xfId="0" applyFont="1" applyFill="1" applyBorder="1"/>
    <xf numFmtId="14" fontId="67" fillId="22" borderId="17" xfId="0" applyNumberFormat="1" applyFont="1" applyFill="1" applyBorder="1" applyAlignment="1">
      <alignment horizontal="right"/>
    </xf>
    <xf numFmtId="0" fontId="67" fillId="22" borderId="17" xfId="0" applyFont="1" applyFill="1" applyBorder="1" applyAlignment="1">
      <alignment horizontal="center"/>
    </xf>
    <xf numFmtId="0" fontId="68" fillId="0" borderId="0" xfId="0" applyFont="1"/>
    <xf numFmtId="0" fontId="67" fillId="0" borderId="0" xfId="0" applyFont="1"/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6" fillId="6" borderId="42" xfId="0" applyFont="1" applyFill="1" applyBorder="1" applyAlignment="1">
      <alignment horizontal="center"/>
    </xf>
    <xf numFmtId="0" fontId="69" fillId="0" borderId="0" xfId="0" applyFont="1"/>
    <xf numFmtId="0" fontId="70" fillId="4" borderId="69" xfId="0" applyFont="1" applyFill="1" applyBorder="1" applyAlignment="1">
      <alignment horizontal="center"/>
    </xf>
    <xf numFmtId="0" fontId="70" fillId="4" borderId="46" xfId="0" applyFont="1" applyFill="1" applyBorder="1" applyAlignment="1">
      <alignment horizontal="center"/>
    </xf>
    <xf numFmtId="17" fontId="70" fillId="4" borderId="46" xfId="0" applyNumberFormat="1" applyFont="1" applyFill="1" applyBorder="1" applyAlignment="1">
      <alignment horizontal="center"/>
    </xf>
    <xf numFmtId="17" fontId="70" fillId="4" borderId="42" xfId="0" applyNumberFormat="1" applyFont="1" applyFill="1" applyBorder="1" applyAlignment="1">
      <alignment horizontal="center"/>
    </xf>
    <xf numFmtId="17" fontId="70" fillId="4" borderId="70" xfId="0" applyNumberFormat="1" applyFont="1" applyFill="1" applyBorder="1" applyAlignment="1">
      <alignment horizontal="center"/>
    </xf>
    <xf numFmtId="0" fontId="6" fillId="31" borderId="155" xfId="0" applyFont="1" applyFill="1" applyBorder="1"/>
    <xf numFmtId="0" fontId="6" fillId="31" borderId="156" xfId="0" applyFont="1" applyFill="1" applyBorder="1"/>
    <xf numFmtId="0" fontId="6" fillId="31" borderId="158" xfId="0" applyFont="1" applyFill="1" applyBorder="1"/>
    <xf numFmtId="0" fontId="6" fillId="31" borderId="156" xfId="0" applyFont="1" applyFill="1" applyBorder="1" applyAlignment="1">
      <alignment horizontal="right"/>
    </xf>
    <xf numFmtId="0" fontId="6" fillId="31" borderId="157" xfId="0" applyFont="1" applyFill="1" applyBorder="1"/>
    <xf numFmtId="0" fontId="76" fillId="19" borderId="3" xfId="0" applyFont="1" applyFill="1" applyBorder="1" applyAlignment="1">
      <alignment horizontal="center"/>
    </xf>
    <xf numFmtId="0" fontId="77" fillId="0" borderId="110" xfId="0" applyFont="1" applyBorder="1" applyAlignment="1">
      <alignment horizontal="left"/>
    </xf>
    <xf numFmtId="0" fontId="77" fillId="0" borderId="109" xfId="0" applyFont="1" applyBorder="1"/>
    <xf numFmtId="0" fontId="77" fillId="0" borderId="109" xfId="0" applyFont="1" applyBorder="1" applyAlignment="1">
      <alignment horizontal="center"/>
    </xf>
    <xf numFmtId="0" fontId="77" fillId="0" borderId="112" xfId="0" applyFont="1" applyBorder="1" applyAlignment="1">
      <alignment horizontal="center"/>
    </xf>
    <xf numFmtId="0" fontId="77" fillId="0" borderId="111" xfId="0" applyFont="1" applyBorder="1" applyAlignment="1">
      <alignment horizontal="center"/>
    </xf>
    <xf numFmtId="0" fontId="77" fillId="0" borderId="6" xfId="0" applyFont="1" applyBorder="1" applyAlignment="1">
      <alignment horizontal="right"/>
    </xf>
    <xf numFmtId="0" fontId="78" fillId="0" borderId="0" xfId="0" applyFont="1"/>
    <xf numFmtId="0" fontId="79" fillId="0" borderId="110" xfId="0" applyFont="1" applyBorder="1" applyAlignment="1">
      <alignment horizontal="left"/>
    </xf>
    <xf numFmtId="0" fontId="80" fillId="0" borderId="109" xfId="0" applyFont="1" applyBorder="1"/>
    <xf numFmtId="0" fontId="80" fillId="0" borderId="109" xfId="0" applyFont="1" applyBorder="1" applyAlignment="1">
      <alignment horizontal="center"/>
    </xf>
    <xf numFmtId="0" fontId="80" fillId="0" borderId="112" xfId="0" applyFont="1" applyBorder="1" applyAlignment="1">
      <alignment horizontal="center"/>
    </xf>
    <xf numFmtId="0" fontId="80" fillId="0" borderId="111" xfId="0" applyFont="1" applyBorder="1" applyAlignment="1">
      <alignment horizontal="center"/>
    </xf>
    <xf numFmtId="0" fontId="70" fillId="0" borderId="110" xfId="0" applyFont="1" applyBorder="1" applyAlignment="1">
      <alignment horizontal="left"/>
    </xf>
    <xf numFmtId="0" fontId="70" fillId="0" borderId="109" xfId="0" applyFont="1" applyBorder="1"/>
    <xf numFmtId="0" fontId="70" fillId="0" borderId="109" xfId="0" applyFont="1" applyBorder="1" applyAlignment="1">
      <alignment horizontal="center"/>
    </xf>
    <xf numFmtId="0" fontId="70" fillId="0" borderId="112" xfId="0" applyFont="1" applyBorder="1" applyAlignment="1">
      <alignment horizontal="center"/>
    </xf>
    <xf numFmtId="0" fontId="70" fillId="0" borderId="111" xfId="0" applyFont="1" applyBorder="1" applyAlignment="1">
      <alignment horizontal="center"/>
    </xf>
    <xf numFmtId="0" fontId="70" fillId="26" borderId="3" xfId="0" applyFont="1" applyFill="1" applyBorder="1" applyAlignment="1">
      <alignment horizontal="right"/>
    </xf>
    <xf numFmtId="0" fontId="79" fillId="0" borderId="114" xfId="0" applyFont="1" applyBorder="1" applyAlignment="1">
      <alignment horizontal="left"/>
    </xf>
    <xf numFmtId="0" fontId="80" fillId="0" borderId="113" xfId="0" applyFont="1" applyBorder="1"/>
    <xf numFmtId="9" fontId="80" fillId="0" borderId="113" xfId="2" applyFont="1" applyBorder="1" applyAlignment="1">
      <alignment horizontal="center"/>
    </xf>
    <xf numFmtId="9" fontId="80" fillId="0" borderId="116" xfId="2" applyFont="1" applyBorder="1" applyAlignment="1">
      <alignment horizontal="center"/>
    </xf>
    <xf numFmtId="9" fontId="81" fillId="0" borderId="115" xfId="2" applyFont="1" applyBorder="1" applyAlignment="1">
      <alignment horizontal="center"/>
    </xf>
    <xf numFmtId="164" fontId="82" fillId="0" borderId="14" xfId="2" applyNumberFormat="1" applyFont="1" applyBorder="1" applyAlignment="1">
      <alignment horizontal="right"/>
    </xf>
    <xf numFmtId="0" fontId="79" fillId="0" borderId="0" xfId="0" applyFont="1"/>
    <xf numFmtId="0" fontId="79" fillId="0" borderId="24" xfId="0" applyFont="1" applyBorder="1"/>
    <xf numFmtId="164" fontId="79" fillId="0" borderId="0" xfId="2" applyNumberFormat="1" applyFont="1" applyBorder="1" applyAlignment="1">
      <alignment horizontal="right"/>
    </xf>
    <xf numFmtId="164" fontId="79" fillId="0" borderId="6" xfId="2" applyNumberFormat="1" applyFont="1" applyBorder="1" applyAlignment="1">
      <alignment horizontal="right"/>
    </xf>
    <xf numFmtId="164" fontId="82" fillId="0" borderId="25" xfId="2" applyNumberFormat="1" applyFont="1" applyBorder="1" applyAlignment="1">
      <alignment horizontal="right"/>
    </xf>
    <xf numFmtId="164" fontId="82" fillId="0" borderId="6" xfId="2" applyNumberFormat="1" applyFont="1" applyBorder="1" applyAlignment="1">
      <alignment horizontal="right"/>
    </xf>
    <xf numFmtId="0" fontId="76" fillId="19" borderId="6" xfId="0" applyFont="1" applyFill="1" applyBorder="1" applyAlignment="1">
      <alignment horizontal="center"/>
    </xf>
    <xf numFmtId="0" fontId="77" fillId="0" borderId="24" xfId="0" applyFont="1" applyBorder="1"/>
    <xf numFmtId="0" fontId="77" fillId="0" borderId="0" xfId="0" applyFont="1"/>
    <xf numFmtId="1" fontId="77" fillId="0" borderId="0" xfId="0" applyNumberFormat="1" applyFont="1" applyAlignment="1">
      <alignment horizontal="center"/>
    </xf>
    <xf numFmtId="1" fontId="77" fillId="0" borderId="6" xfId="0" applyNumberFormat="1" applyFont="1" applyBorder="1" applyAlignment="1">
      <alignment horizontal="center"/>
    </xf>
    <xf numFmtId="1" fontId="77" fillId="0" borderId="25" xfId="0" applyNumberFormat="1" applyFont="1" applyBorder="1" applyAlignment="1">
      <alignment horizontal="center"/>
    </xf>
    <xf numFmtId="1" fontId="77" fillId="0" borderId="6" xfId="0" applyNumberFormat="1" applyFont="1" applyBorder="1"/>
    <xf numFmtId="0" fontId="83" fillId="0" borderId="0" xfId="0" applyFont="1"/>
    <xf numFmtId="0" fontId="70" fillId="0" borderId="122" xfId="0" applyFont="1" applyBorder="1"/>
    <xf numFmtId="0" fontId="70" fillId="0" borderId="121" xfId="0" applyFont="1" applyBorder="1"/>
    <xf numFmtId="1" fontId="70" fillId="0" borderId="121" xfId="0" applyNumberFormat="1" applyFont="1" applyBorder="1" applyAlignment="1">
      <alignment horizontal="center"/>
    </xf>
    <xf numFmtId="1" fontId="84" fillId="0" borderId="121" xfId="0" applyNumberFormat="1" applyFont="1" applyBorder="1" applyAlignment="1">
      <alignment horizontal="center"/>
    </xf>
    <xf numFmtId="1" fontId="84" fillId="0" borderId="123" xfId="0" applyNumberFormat="1" applyFont="1" applyBorder="1" applyAlignment="1">
      <alignment horizontal="center"/>
    </xf>
    <xf numFmtId="1" fontId="84" fillId="0" borderId="3" xfId="0" applyNumberFormat="1" applyFont="1" applyBorder="1"/>
    <xf numFmtId="0" fontId="79" fillId="0" borderId="117" xfId="0" applyFont="1" applyBorder="1"/>
    <xf numFmtId="0" fontId="80" fillId="0" borderId="118" xfId="0" applyFont="1" applyBorder="1"/>
    <xf numFmtId="9" fontId="80" fillId="0" borderId="118" xfId="2" applyFont="1" applyBorder="1" applyAlignment="1">
      <alignment horizontal="center"/>
    </xf>
    <xf numFmtId="9" fontId="80" fillId="0" borderId="120" xfId="2" applyFont="1" applyBorder="1" applyAlignment="1">
      <alignment horizontal="center"/>
    </xf>
    <xf numFmtId="9" fontId="81" fillId="0" borderId="119" xfId="2" applyFont="1" applyBorder="1" applyAlignment="1">
      <alignment horizontal="center"/>
    </xf>
    <xf numFmtId="164" fontId="79" fillId="0" borderId="6" xfId="2" applyNumberFormat="1" applyFont="1" applyBorder="1"/>
    <xf numFmtId="164" fontId="79" fillId="0" borderId="0" xfId="2" applyNumberFormat="1" applyFont="1" applyBorder="1"/>
    <xf numFmtId="164" fontId="82" fillId="0" borderId="25" xfId="2" applyNumberFormat="1" applyFont="1" applyBorder="1"/>
    <xf numFmtId="164" fontId="82" fillId="0" borderId="86" xfId="2" applyNumberFormat="1" applyFont="1" applyBorder="1"/>
    <xf numFmtId="0" fontId="70" fillId="4" borderId="128" xfId="0" applyFont="1" applyFill="1" applyBorder="1"/>
    <xf numFmtId="0" fontId="70" fillId="4" borderId="127" xfId="0" applyFont="1" applyFill="1" applyBorder="1"/>
    <xf numFmtId="38" fontId="19" fillId="4" borderId="127" xfId="2" applyNumberFormat="1" applyFont="1" applyFill="1" applyBorder="1" applyAlignment="1">
      <alignment horizontal="center"/>
    </xf>
    <xf numFmtId="38" fontId="19" fillId="4" borderId="130" xfId="2" applyNumberFormat="1" applyFont="1" applyFill="1" applyBorder="1" applyAlignment="1">
      <alignment horizontal="center"/>
    </xf>
    <xf numFmtId="38" fontId="19" fillId="4" borderId="129" xfId="2" applyNumberFormat="1" applyFont="1" applyFill="1" applyBorder="1" applyAlignment="1">
      <alignment horizontal="center"/>
    </xf>
    <xf numFmtId="38" fontId="69" fillId="4" borderId="6" xfId="2" applyNumberFormat="1" applyFont="1" applyFill="1" applyBorder="1"/>
    <xf numFmtId="0" fontId="70" fillId="0" borderId="0" xfId="0" applyFont="1"/>
    <xf numFmtId="0" fontId="70" fillId="4" borderId="160" xfId="0" applyFont="1" applyFill="1" applyBorder="1"/>
    <xf numFmtId="0" fontId="70" fillId="4" borderId="161" xfId="0" applyFont="1" applyFill="1" applyBorder="1"/>
    <xf numFmtId="38" fontId="19" fillId="4" borderId="161" xfId="2" applyNumberFormat="1" applyFont="1" applyFill="1" applyBorder="1" applyAlignment="1">
      <alignment horizontal="center"/>
    </xf>
    <xf numFmtId="38" fontId="19" fillId="4" borderId="159" xfId="2" applyNumberFormat="1" applyFont="1" applyFill="1" applyBorder="1" applyAlignment="1">
      <alignment horizontal="center"/>
    </xf>
    <xf numFmtId="38" fontId="19" fillId="4" borderId="162" xfId="2" applyNumberFormat="1" applyFont="1" applyFill="1" applyBorder="1" applyAlignment="1">
      <alignment horizontal="center"/>
    </xf>
    <xf numFmtId="38" fontId="69" fillId="4" borderId="86" xfId="2" applyNumberFormat="1" applyFont="1" applyFill="1" applyBorder="1"/>
    <xf numFmtId="0" fontId="70" fillId="4" borderId="24" xfId="0" applyFont="1" applyFill="1" applyBorder="1"/>
    <xf numFmtId="0" fontId="70" fillId="4" borderId="0" xfId="0" applyFont="1" applyFill="1"/>
    <xf numFmtId="38" fontId="20" fillId="4" borderId="0" xfId="2" applyNumberFormat="1" applyFont="1" applyFill="1" applyBorder="1" applyAlignment="1">
      <alignment horizontal="center"/>
    </xf>
    <xf numFmtId="38" fontId="20" fillId="4" borderId="6" xfId="2" applyNumberFormat="1" applyFont="1" applyFill="1" applyBorder="1" applyAlignment="1">
      <alignment horizontal="center"/>
    </xf>
    <xf numFmtId="38" fontId="20" fillId="4" borderId="25" xfId="2" applyNumberFormat="1" applyFont="1" applyFill="1" applyBorder="1" applyAlignment="1">
      <alignment horizontal="center"/>
    </xf>
    <xf numFmtId="0" fontId="70" fillId="0" borderId="24" xfId="0" applyFont="1" applyBorder="1"/>
    <xf numFmtId="38" fontId="69" fillId="0" borderId="0" xfId="2" applyNumberFormat="1" applyFont="1" applyFill="1" applyBorder="1"/>
    <xf numFmtId="38" fontId="69" fillId="0" borderId="6" xfId="2" applyNumberFormat="1" applyFont="1" applyFill="1" applyBorder="1"/>
    <xf numFmtId="38" fontId="69" fillId="0" borderId="25" xfId="2" applyNumberFormat="1" applyFont="1" applyFill="1" applyBorder="1"/>
    <xf numFmtId="38" fontId="69" fillId="0" borderId="86" xfId="2" applyNumberFormat="1" applyFont="1" applyFill="1" applyBorder="1"/>
    <xf numFmtId="0" fontId="77" fillId="4" borderId="76" xfId="0" applyFont="1" applyFill="1" applyBorder="1"/>
    <xf numFmtId="0" fontId="77" fillId="4" borderId="47" xfId="0" applyFont="1" applyFill="1" applyBorder="1"/>
    <xf numFmtId="38" fontId="19" fillId="4" borderId="47" xfId="2" applyNumberFormat="1" applyFont="1" applyFill="1" applyBorder="1" applyAlignment="1">
      <alignment horizontal="center"/>
    </xf>
    <xf numFmtId="38" fontId="19" fillId="4" borderId="87" xfId="2" applyNumberFormat="1" applyFont="1" applyFill="1" applyBorder="1" applyAlignment="1">
      <alignment horizontal="center"/>
    </xf>
    <xf numFmtId="38" fontId="19" fillId="4" borderId="77" xfId="2" applyNumberFormat="1" applyFont="1" applyFill="1" applyBorder="1" applyAlignment="1">
      <alignment horizontal="center"/>
    </xf>
    <xf numFmtId="38" fontId="69" fillId="4" borderId="85" xfId="2" applyNumberFormat="1" applyFont="1" applyFill="1" applyBorder="1"/>
    <xf numFmtId="0" fontId="85" fillId="0" borderId="0" xfId="0" applyFont="1"/>
    <xf numFmtId="0" fontId="77" fillId="4" borderId="24" xfId="0" applyFont="1" applyFill="1" applyBorder="1"/>
    <xf numFmtId="0" fontId="77" fillId="4" borderId="0" xfId="0" applyFont="1" applyFill="1"/>
    <xf numFmtId="38" fontId="19" fillId="4" borderId="0" xfId="2" applyNumberFormat="1" applyFont="1" applyFill="1" applyBorder="1" applyAlignment="1">
      <alignment horizontal="center"/>
    </xf>
    <xf numFmtId="38" fontId="19" fillId="4" borderId="6" xfId="2" applyNumberFormat="1" applyFont="1" applyFill="1" applyBorder="1" applyAlignment="1">
      <alignment horizontal="center"/>
    </xf>
    <xf numFmtId="38" fontId="19" fillId="4" borderId="25" xfId="2" applyNumberFormat="1" applyFont="1" applyFill="1" applyBorder="1" applyAlignment="1">
      <alignment horizontal="center"/>
    </xf>
    <xf numFmtId="0" fontId="77" fillId="4" borderId="26" xfId="0" applyFont="1" applyFill="1" applyBorder="1"/>
    <xf numFmtId="0" fontId="77" fillId="4" borderId="9" xfId="0" applyFont="1" applyFill="1" applyBorder="1"/>
    <xf numFmtId="38" fontId="19" fillId="4" borderId="9" xfId="2" applyNumberFormat="1" applyFont="1" applyFill="1" applyBorder="1" applyAlignment="1">
      <alignment horizontal="center"/>
    </xf>
    <xf numFmtId="38" fontId="19" fillId="4" borderId="27" xfId="2" applyNumberFormat="1" applyFont="1" applyFill="1" applyBorder="1" applyAlignment="1">
      <alignment horizontal="center"/>
    </xf>
    <xf numFmtId="164" fontId="86" fillId="0" borderId="0" xfId="2" applyNumberFormat="1" applyFont="1" applyFill="1" applyBorder="1" applyAlignment="1">
      <alignment horizontal="center"/>
    </xf>
    <xf numFmtId="164" fontId="86" fillId="0" borderId="25" xfId="2" applyNumberFormat="1" applyFont="1" applyFill="1" applyBorder="1" applyAlignment="1">
      <alignment horizontal="center"/>
    </xf>
    <xf numFmtId="164" fontId="82" fillId="0" borderId="6" xfId="2" applyNumberFormat="1" applyFont="1" applyBorder="1"/>
    <xf numFmtId="0" fontId="70" fillId="0" borderId="110" xfId="0" applyFont="1" applyBorder="1"/>
    <xf numFmtId="1" fontId="70" fillId="0" borderId="109" xfId="2" applyNumberFormat="1" applyFont="1" applyBorder="1" applyAlignment="1">
      <alignment horizontal="center"/>
    </xf>
    <xf numFmtId="1" fontId="70" fillId="0" borderId="111" xfId="2" applyNumberFormat="1" applyFont="1" applyBorder="1" applyAlignment="1">
      <alignment horizontal="center"/>
    </xf>
    <xf numFmtId="1" fontId="70" fillId="0" borderId="87" xfId="2" applyNumberFormat="1" applyFont="1" applyBorder="1" applyAlignment="1">
      <alignment horizontal="right"/>
    </xf>
    <xf numFmtId="0" fontId="79" fillId="0" borderId="28" xfId="0" applyFont="1" applyBorder="1"/>
    <xf numFmtId="0" fontId="79" fillId="0" borderId="29" xfId="0" applyFont="1" applyBorder="1"/>
    <xf numFmtId="9" fontId="80" fillId="0" borderId="29" xfId="2" applyFont="1" applyFill="1" applyBorder="1" applyAlignment="1">
      <alignment horizontal="center"/>
    </xf>
    <xf numFmtId="9" fontId="81" fillId="0" borderId="30" xfId="2" applyFont="1" applyFill="1" applyBorder="1" applyAlignment="1">
      <alignment horizontal="center"/>
    </xf>
    <xf numFmtId="164" fontId="82" fillId="0" borderId="16" xfId="2" applyNumberFormat="1" applyFont="1" applyBorder="1" applyAlignment="1">
      <alignment horizontal="right"/>
    </xf>
    <xf numFmtId="164" fontId="69" fillId="0" borderId="0" xfId="2" applyNumberFormat="1" applyFont="1" applyAlignment="1">
      <alignment horizontal="right"/>
    </xf>
    <xf numFmtId="0" fontId="70" fillId="17" borderId="42" xfId="0" applyFont="1" applyFill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17" borderId="0" xfId="0" applyFont="1" applyFill="1" applyAlignment="1">
      <alignment horizontal="center"/>
    </xf>
    <xf numFmtId="0" fontId="87" fillId="0" borderId="0" xfId="0" applyFont="1"/>
    <xf numFmtId="1" fontId="88" fillId="0" borderId="0" xfId="0" applyNumberFormat="1" applyFont="1"/>
    <xf numFmtId="0" fontId="88" fillId="0" borderId="0" xfId="0" applyFont="1"/>
    <xf numFmtId="0" fontId="70" fillId="4" borderId="54" xfId="0" applyFont="1" applyFill="1" applyBorder="1" applyAlignment="1">
      <alignment horizontal="center" wrapText="1"/>
    </xf>
    <xf numFmtId="0" fontId="70" fillId="4" borderId="64" xfId="0" applyFont="1" applyFill="1" applyBorder="1" applyAlignment="1">
      <alignment horizontal="center" wrapText="1"/>
    </xf>
    <xf numFmtId="0" fontId="70" fillId="4" borderId="64" xfId="0" applyFont="1" applyFill="1" applyBorder="1" applyAlignment="1">
      <alignment horizontal="center"/>
    </xf>
    <xf numFmtId="0" fontId="70" fillId="4" borderId="54" xfId="0" applyFont="1" applyFill="1" applyBorder="1" applyAlignment="1">
      <alignment horizontal="center"/>
    </xf>
    <xf numFmtId="0" fontId="69" fillId="0" borderId="17" xfId="0" applyFont="1" applyBorder="1"/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right"/>
    </xf>
    <xf numFmtId="0" fontId="89" fillId="30" borderId="0" xfId="0" applyFont="1" applyFill="1" applyAlignment="1">
      <alignment horizontal="center"/>
    </xf>
    <xf numFmtId="0" fontId="76" fillId="30" borderId="64" xfId="0" applyFont="1" applyFill="1" applyBorder="1" applyAlignment="1">
      <alignment horizontal="left"/>
    </xf>
    <xf numFmtId="0" fontId="70" fillId="0" borderId="0" xfId="0" applyFont="1" applyAlignment="1">
      <alignment horizontal="right"/>
    </xf>
    <xf numFmtId="0" fontId="70" fillId="0" borderId="0" xfId="0" applyFont="1" applyAlignment="1">
      <alignment horizontal="left"/>
    </xf>
    <xf numFmtId="0" fontId="70" fillId="0" borderId="54" xfId="0" applyFont="1" applyBorder="1" applyAlignment="1">
      <alignment horizontal="center"/>
    </xf>
    <xf numFmtId="9" fontId="70" fillId="0" borderId="8" xfId="0" applyNumberFormat="1" applyFont="1" applyBorder="1" applyAlignment="1">
      <alignment horizontal="center"/>
    </xf>
    <xf numFmtId="0" fontId="70" fillId="0" borderId="11" xfId="0" applyFont="1" applyBorder="1" applyAlignment="1">
      <alignment horizontal="center"/>
    </xf>
    <xf numFmtId="0" fontId="69" fillId="0" borderId="0" xfId="0" applyFont="1" applyAlignment="1">
      <alignment horizontal="left"/>
    </xf>
    <xf numFmtId="0" fontId="69" fillId="0" borderId="0" xfId="0" applyFont="1" applyAlignment="1">
      <alignment horizontal="left" vertical="top"/>
    </xf>
    <xf numFmtId="0" fontId="70" fillId="20" borderId="5" xfId="0" applyFont="1" applyFill="1" applyBorder="1" applyAlignment="1">
      <alignment horizontal="center"/>
    </xf>
    <xf numFmtId="0" fontId="70" fillId="20" borderId="0" xfId="0" applyFont="1" applyFill="1" applyAlignment="1">
      <alignment horizontal="center"/>
    </xf>
    <xf numFmtId="168" fontId="76" fillId="20" borderId="0" xfId="0" applyNumberFormat="1" applyFont="1" applyFill="1" applyAlignment="1">
      <alignment horizontal="center"/>
    </xf>
    <xf numFmtId="0" fontId="76" fillId="20" borderId="7" xfId="0" applyFont="1" applyFill="1" applyBorder="1" applyAlignment="1">
      <alignment horizontal="center"/>
    </xf>
    <xf numFmtId="0" fontId="70" fillId="4" borderId="0" xfId="0" applyFont="1" applyFill="1" applyAlignment="1">
      <alignment horizontal="center"/>
    </xf>
    <xf numFmtId="0" fontId="76" fillId="20" borderId="62" xfId="0" applyFont="1" applyFill="1" applyBorder="1" applyAlignment="1">
      <alignment horizontal="center"/>
    </xf>
    <xf numFmtId="14" fontId="76" fillId="20" borderId="62" xfId="0" applyNumberFormat="1" applyFont="1" applyFill="1" applyBorder="1" applyAlignment="1">
      <alignment horizontal="center"/>
    </xf>
    <xf numFmtId="0" fontId="76" fillId="20" borderId="102" xfId="0" applyFont="1" applyFill="1" applyBorder="1" applyAlignment="1">
      <alignment horizontal="center"/>
    </xf>
    <xf numFmtId="0" fontId="69" fillId="15" borderId="103" xfId="0" applyFont="1" applyFill="1" applyBorder="1" applyAlignment="1">
      <alignment horizontal="center" vertical="center"/>
    </xf>
    <xf numFmtId="0" fontId="69" fillId="15" borderId="100" xfId="0" applyFont="1" applyFill="1" applyBorder="1"/>
    <xf numFmtId="166" fontId="70" fillId="0" borderId="100" xfId="0" quotePrefix="1" applyNumberFormat="1" applyFont="1" applyBorder="1" applyAlignment="1">
      <alignment horizontal="center" vertical="center"/>
    </xf>
    <xf numFmtId="166" fontId="76" fillId="20" borderId="104" xfId="0" applyNumberFormat="1" applyFont="1" applyFill="1" applyBorder="1" applyAlignment="1">
      <alignment horizontal="center" vertical="center"/>
    </xf>
    <xf numFmtId="0" fontId="69" fillId="15" borderId="94" xfId="0" applyFont="1" applyFill="1" applyBorder="1" applyAlignment="1">
      <alignment horizontal="center" vertical="center"/>
    </xf>
    <xf numFmtId="0" fontId="69" fillId="15" borderId="48" xfId="0" applyFont="1" applyFill="1" applyBorder="1"/>
    <xf numFmtId="166" fontId="70" fillId="0" borderId="48" xfId="0" quotePrefix="1" applyNumberFormat="1" applyFont="1" applyBorder="1" applyAlignment="1">
      <alignment horizontal="center" vertical="center"/>
    </xf>
    <xf numFmtId="166" fontId="76" fillId="20" borderId="95" xfId="0" applyNumberFormat="1" applyFont="1" applyFill="1" applyBorder="1" applyAlignment="1">
      <alignment horizontal="center" vertical="center"/>
    </xf>
    <xf numFmtId="0" fontId="69" fillId="15" borderId="105" xfId="0" applyFont="1" applyFill="1" applyBorder="1" applyAlignment="1">
      <alignment horizontal="center" vertical="center"/>
    </xf>
    <xf numFmtId="0" fontId="69" fillId="15" borderId="60" xfId="0" applyFont="1" applyFill="1" applyBorder="1"/>
    <xf numFmtId="166" fontId="70" fillId="0" borderId="60" xfId="0" quotePrefix="1" applyNumberFormat="1" applyFont="1" applyBorder="1" applyAlignment="1">
      <alignment horizontal="center" vertical="center"/>
    </xf>
    <xf numFmtId="166" fontId="76" fillId="20" borderId="106" xfId="0" applyNumberFormat="1" applyFont="1" applyFill="1" applyBorder="1" applyAlignment="1">
      <alignment horizontal="center" vertical="center"/>
    </xf>
    <xf numFmtId="0" fontId="76" fillId="20" borderId="9" xfId="0" applyFont="1" applyFill="1" applyBorder="1" applyAlignment="1">
      <alignment horizontal="center"/>
    </xf>
    <xf numFmtId="13" fontId="76" fillId="20" borderId="9" xfId="0" applyNumberFormat="1" applyFont="1" applyFill="1" applyBorder="1" applyAlignment="1">
      <alignment horizontal="center"/>
    </xf>
    <xf numFmtId="166" fontId="76" fillId="20" borderId="9" xfId="0" quotePrefix="1" applyNumberFormat="1" applyFont="1" applyFill="1" applyBorder="1" applyAlignment="1">
      <alignment horizontal="center"/>
    </xf>
    <xf numFmtId="166" fontId="76" fillId="20" borderId="11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/>
    </xf>
    <xf numFmtId="13" fontId="76" fillId="0" borderId="0" xfId="0" applyNumberFormat="1" applyFont="1" applyAlignment="1">
      <alignment horizontal="center"/>
    </xf>
    <xf numFmtId="166" fontId="76" fillId="0" borderId="0" xfId="0" quotePrefix="1" applyNumberFormat="1" applyFont="1" applyAlignment="1">
      <alignment horizontal="center"/>
    </xf>
    <xf numFmtId="0" fontId="70" fillId="0" borderId="0" xfId="0" applyFont="1" applyAlignment="1">
      <alignment wrapText="1"/>
    </xf>
    <xf numFmtId="0" fontId="76" fillId="20" borderId="5" xfId="0" applyFont="1" applyFill="1" applyBorder="1" applyAlignment="1">
      <alignment horizontal="center" wrapText="1"/>
    </xf>
    <xf numFmtId="0" fontId="76" fillId="20" borderId="0" xfId="0" applyFont="1" applyFill="1" applyAlignment="1">
      <alignment horizontal="center" wrapText="1"/>
    </xf>
    <xf numFmtId="0" fontId="76" fillId="20" borderId="53" xfId="0" applyFont="1" applyFill="1" applyBorder="1" applyAlignment="1">
      <alignment horizontal="center" wrapText="1"/>
    </xf>
    <xf numFmtId="0" fontId="76" fillId="20" borderId="93" xfId="0" applyFont="1" applyFill="1" applyBorder="1" applyAlignment="1">
      <alignment horizontal="center" wrapText="1"/>
    </xf>
    <xf numFmtId="0" fontId="70" fillId="4" borderId="92" xfId="0" applyFont="1" applyFill="1" applyBorder="1" applyAlignment="1">
      <alignment horizontal="right" wrapText="1"/>
    </xf>
    <xf numFmtId="0" fontId="69" fillId="15" borderId="94" xfId="0" applyFont="1" applyFill="1" applyBorder="1"/>
    <xf numFmtId="0" fontId="69" fillId="15" borderId="48" xfId="0" applyFont="1" applyFill="1" applyBorder="1" applyAlignment="1">
      <alignment horizontal="right"/>
    </xf>
    <xf numFmtId="0" fontId="69" fillId="0" borderId="50" xfId="0" applyFont="1" applyBorder="1" applyAlignment="1">
      <alignment horizontal="right"/>
    </xf>
    <xf numFmtId="167" fontId="69" fillId="0" borderId="50" xfId="3" applyNumberFormat="1" applyFont="1" applyBorder="1" applyAlignment="1">
      <alignment horizontal="right"/>
    </xf>
    <xf numFmtId="164" fontId="69" fillId="0" borderId="50" xfId="2" applyNumberFormat="1" applyFont="1" applyBorder="1" applyAlignment="1">
      <alignment horizontal="right"/>
    </xf>
    <xf numFmtId="43" fontId="69" fillId="0" borderId="50" xfId="0" applyNumberFormat="1" applyFont="1" applyBorder="1" applyAlignment="1">
      <alignment horizontal="right"/>
    </xf>
    <xf numFmtId="0" fontId="69" fillId="0" borderId="48" xfId="0" applyFont="1" applyBorder="1"/>
    <xf numFmtId="9" fontId="70" fillId="0" borderId="0" xfId="2" applyFont="1"/>
    <xf numFmtId="0" fontId="69" fillId="15" borderId="5" xfId="0" applyFont="1" applyFill="1" applyBorder="1"/>
    <xf numFmtId="0" fontId="69" fillId="15" borderId="0" xfId="0" applyFont="1" applyFill="1" applyAlignment="1">
      <alignment horizontal="right"/>
    </xf>
    <xf numFmtId="0" fontId="69" fillId="0" borderId="51" xfId="0" applyFont="1" applyBorder="1" applyAlignment="1">
      <alignment horizontal="right"/>
    </xf>
    <xf numFmtId="167" fontId="69" fillId="0" borderId="51" xfId="3" applyNumberFormat="1" applyFont="1" applyBorder="1" applyAlignment="1">
      <alignment horizontal="right"/>
    </xf>
    <xf numFmtId="0" fontId="69" fillId="15" borderId="8" xfId="0" applyFont="1" applyFill="1" applyBorder="1"/>
    <xf numFmtId="0" fontId="69" fillId="15" borderId="9" xfId="0" applyFont="1" applyFill="1" applyBorder="1" applyAlignment="1">
      <alignment horizontal="right"/>
    </xf>
    <xf numFmtId="0" fontId="69" fillId="0" borderId="96" xfId="0" applyFont="1" applyBorder="1" applyAlignment="1">
      <alignment horizontal="right"/>
    </xf>
    <xf numFmtId="167" fontId="69" fillId="0" borderId="96" xfId="3" applyNumberFormat="1" applyFont="1" applyBorder="1" applyAlignment="1">
      <alignment horizontal="right"/>
    </xf>
    <xf numFmtId="164" fontId="69" fillId="0" borderId="56" xfId="2" applyNumberFormat="1" applyFont="1" applyBorder="1" applyAlignment="1">
      <alignment horizontal="right"/>
    </xf>
    <xf numFmtId="0" fontId="69" fillId="0" borderId="56" xfId="0" applyFont="1" applyBorder="1" applyAlignment="1">
      <alignment horizontal="right"/>
    </xf>
    <xf numFmtId="0" fontId="70" fillId="15" borderId="98" xfId="0" applyFont="1" applyFill="1" applyBorder="1"/>
    <xf numFmtId="0" fontId="70" fillId="15" borderId="45" xfId="0" applyFont="1" applyFill="1" applyBorder="1"/>
    <xf numFmtId="0" fontId="70" fillId="15" borderId="45" xfId="0" applyFont="1" applyFill="1" applyBorder="1" applyAlignment="1">
      <alignment horizontal="right"/>
    </xf>
    <xf numFmtId="167" fontId="70" fillId="15" borderId="45" xfId="3" applyNumberFormat="1" applyFont="1" applyFill="1" applyBorder="1" applyAlignment="1">
      <alignment horizontal="right"/>
    </xf>
    <xf numFmtId="164" fontId="70" fillId="15" borderId="45" xfId="2" applyNumberFormat="1" applyFont="1" applyFill="1" applyBorder="1" applyAlignment="1">
      <alignment horizontal="right"/>
    </xf>
    <xf numFmtId="0" fontId="70" fillId="15" borderId="91" xfId="0" applyFont="1" applyFill="1" applyBorder="1" applyAlignment="1">
      <alignment horizontal="right"/>
    </xf>
    <xf numFmtId="43" fontId="70" fillId="15" borderId="45" xfId="3" applyFont="1" applyFill="1" applyBorder="1" applyAlignment="1">
      <alignment horizontal="right"/>
    </xf>
    <xf numFmtId="43" fontId="70" fillId="15" borderId="99" xfId="3" applyFont="1" applyFill="1" applyBorder="1" applyAlignment="1">
      <alignment horizontal="right"/>
    </xf>
    <xf numFmtId="0" fontId="70" fillId="0" borderId="45" xfId="0" applyFont="1" applyBorder="1"/>
    <xf numFmtId="0" fontId="77" fillId="18" borderId="0" xfId="0" applyFont="1" applyFill="1" applyAlignment="1">
      <alignment horizontal="center"/>
    </xf>
    <xf numFmtId="17" fontId="70" fillId="0" borderId="0" xfId="0" applyNumberFormat="1" applyFont="1" applyAlignment="1">
      <alignment horizontal="left" wrapText="1"/>
    </xf>
    <xf numFmtId="17" fontId="70" fillId="0" borderId="0" xfId="0" applyNumberFormat="1" applyFont="1" applyAlignment="1">
      <alignment horizontal="left"/>
    </xf>
    <xf numFmtId="0" fontId="69" fillId="4" borderId="55" xfId="0" applyFont="1" applyFill="1" applyBorder="1"/>
    <xf numFmtId="17" fontId="70" fillId="4" borderId="55" xfId="0" applyNumberFormat="1" applyFont="1" applyFill="1" applyBorder="1"/>
    <xf numFmtId="0" fontId="69" fillId="0" borderId="50" xfId="0" applyFont="1" applyBorder="1"/>
    <xf numFmtId="44" fontId="69" fillId="0" borderId="50" xfId="1" applyFont="1" applyBorder="1" applyAlignment="1">
      <alignment horizontal="left"/>
    </xf>
    <xf numFmtId="164" fontId="69" fillId="0" borderId="50" xfId="2" applyNumberFormat="1" applyFont="1" applyBorder="1" applyAlignment="1">
      <alignment horizontal="left"/>
    </xf>
    <xf numFmtId="0" fontId="69" fillId="0" borderId="50" xfId="0" applyFont="1" applyBorder="1" applyAlignment="1">
      <alignment horizontal="left"/>
    </xf>
    <xf numFmtId="0" fontId="69" fillId="0" borderId="56" xfId="0" applyFont="1" applyBorder="1"/>
    <xf numFmtId="44" fontId="69" fillId="0" borderId="56" xfId="1" applyFont="1" applyBorder="1" applyAlignment="1">
      <alignment horizontal="left"/>
    </xf>
    <xf numFmtId="164" fontId="69" fillId="0" borderId="56" xfId="2" applyNumberFormat="1" applyFont="1" applyBorder="1" applyAlignment="1">
      <alignment horizontal="left"/>
    </xf>
    <xf numFmtId="0" fontId="69" fillId="0" borderId="56" xfId="0" applyFont="1" applyBorder="1" applyAlignment="1">
      <alignment horizontal="left"/>
    </xf>
    <xf numFmtId="44" fontId="69" fillId="0" borderId="0" xfId="1" applyFont="1" applyBorder="1" applyAlignment="1">
      <alignment horizontal="left"/>
    </xf>
    <xf numFmtId="164" fontId="69" fillId="0" borderId="0" xfId="2" applyNumberFormat="1" applyFont="1" applyBorder="1" applyAlignment="1">
      <alignment horizontal="left"/>
    </xf>
    <xf numFmtId="0" fontId="77" fillId="4" borderId="0" xfId="0" applyFont="1" applyFill="1" applyAlignment="1">
      <alignment horizontal="center"/>
    </xf>
    <xf numFmtId="0" fontId="69" fillId="4" borderId="131" xfId="0" applyFont="1" applyFill="1" applyBorder="1" applyAlignment="1">
      <alignment horizontal="center"/>
    </xf>
    <xf numFmtId="0" fontId="69" fillId="4" borderId="132" xfId="0" applyFont="1" applyFill="1" applyBorder="1" applyAlignment="1">
      <alignment horizontal="center"/>
    </xf>
    <xf numFmtId="17" fontId="70" fillId="4" borderId="132" xfId="0" applyNumberFormat="1" applyFont="1" applyFill="1" applyBorder="1" applyAlignment="1">
      <alignment horizontal="center"/>
    </xf>
    <xf numFmtId="17" fontId="70" fillId="4" borderId="133" xfId="0" applyNumberFormat="1" applyFont="1" applyFill="1" applyBorder="1" applyAlignment="1">
      <alignment horizontal="center"/>
    </xf>
    <xf numFmtId="17" fontId="70" fillId="4" borderId="92" xfId="0" applyNumberFormat="1" applyFont="1" applyFill="1" applyBorder="1"/>
    <xf numFmtId="0" fontId="69" fillId="0" borderId="139" xfId="0" applyFont="1" applyBorder="1" applyAlignment="1">
      <alignment horizontal="left"/>
    </xf>
    <xf numFmtId="0" fontId="69" fillId="0" borderId="140" xfId="0" applyFont="1" applyBorder="1"/>
    <xf numFmtId="0" fontId="69" fillId="0" borderId="134" xfId="0" applyFont="1" applyBorder="1" applyAlignment="1">
      <alignment horizontal="left"/>
    </xf>
    <xf numFmtId="0" fontId="69" fillId="0" borderId="136" xfId="0" applyFont="1" applyBorder="1" applyAlignment="1">
      <alignment horizontal="left"/>
    </xf>
    <xf numFmtId="0" fontId="69" fillId="0" borderId="118" xfId="0" applyFont="1" applyBorder="1"/>
    <xf numFmtId="9" fontId="69" fillId="0" borderId="0" xfId="2" applyFont="1" applyFill="1" applyBorder="1" applyAlignment="1">
      <alignment horizontal="left"/>
    </xf>
    <xf numFmtId="0" fontId="69" fillId="0" borderId="0" xfId="0" applyFont="1" applyAlignment="1">
      <alignment horizontal="left" vertical="top" wrapText="1"/>
    </xf>
    <xf numFmtId="1" fontId="69" fillId="0" borderId="0" xfId="2" applyNumberFormat="1" applyFont="1" applyFill="1" applyBorder="1" applyAlignment="1">
      <alignment horizontal="left"/>
    </xf>
    <xf numFmtId="9" fontId="69" fillId="0" borderId="0" xfId="2" applyFont="1" applyFill="1" applyBorder="1"/>
    <xf numFmtId="0" fontId="69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44" fontId="19" fillId="0" borderId="0" xfId="1" applyFont="1" applyBorder="1" applyAlignment="1">
      <alignment horizontal="left"/>
    </xf>
    <xf numFmtId="0" fontId="92" fillId="0" borderId="0" xfId="0" applyFont="1"/>
    <xf numFmtId="165" fontId="59" fillId="0" borderId="0" xfId="1" applyNumberFormat="1" applyFont="1"/>
    <xf numFmtId="49" fontId="92" fillId="0" borderId="0" xfId="0" applyNumberFormat="1" applyFont="1"/>
    <xf numFmtId="0" fontId="92" fillId="0" borderId="0" xfId="0" applyFont="1" applyAlignment="1">
      <alignment horizontal="left"/>
    </xf>
    <xf numFmtId="0" fontId="92" fillId="4" borderId="46" xfId="0" applyFont="1" applyFill="1" applyBorder="1"/>
    <xf numFmtId="17" fontId="92" fillId="4" borderId="46" xfId="0" applyNumberFormat="1" applyFont="1" applyFill="1" applyBorder="1" applyAlignment="1">
      <alignment horizontal="center"/>
    </xf>
    <xf numFmtId="0" fontId="92" fillId="4" borderId="9" xfId="0" applyFont="1" applyFill="1" applyBorder="1"/>
    <xf numFmtId="17" fontId="93" fillId="4" borderId="9" xfId="0" applyNumberFormat="1" applyFont="1" applyFill="1" applyBorder="1" applyAlignment="1">
      <alignment horizontal="center"/>
    </xf>
    <xf numFmtId="17" fontId="93" fillId="0" borderId="0" xfId="0" applyNumberFormat="1" applyFont="1" applyAlignment="1">
      <alignment horizontal="center"/>
    </xf>
    <xf numFmtId="0" fontId="92" fillId="4" borderId="0" xfId="0" applyFont="1" applyFill="1" applyAlignment="1">
      <alignment horizontal="center"/>
    </xf>
    <xf numFmtId="0" fontId="59" fillId="4" borderId="46" xfId="0" applyFont="1" applyFill="1" applyBorder="1"/>
    <xf numFmtId="165" fontId="59" fillId="4" borderId="46" xfId="1" applyNumberFormat="1" applyFont="1" applyFill="1" applyBorder="1"/>
    <xf numFmtId="17" fontId="93" fillId="4" borderId="9" xfId="0" quotePrefix="1" applyNumberFormat="1" applyFont="1" applyFill="1" applyBorder="1" applyAlignment="1">
      <alignment horizontal="center"/>
    </xf>
    <xf numFmtId="0" fontId="59" fillId="4" borderId="9" xfId="0" applyFont="1" applyFill="1" applyBorder="1"/>
    <xf numFmtId="165" fontId="59" fillId="4" borderId="9" xfId="1" applyNumberFormat="1" applyFont="1" applyFill="1" applyBorder="1"/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165" fontId="93" fillId="0" borderId="0" xfId="1" applyNumberFormat="1" applyFont="1" applyAlignment="1">
      <alignment horizontal="center"/>
    </xf>
    <xf numFmtId="9" fontId="92" fillId="0" borderId="0" xfId="2" applyFont="1" applyFill="1" applyBorder="1"/>
    <xf numFmtId="165" fontId="92" fillId="0" borderId="0" xfId="1" applyNumberFormat="1" applyFont="1"/>
    <xf numFmtId="44" fontId="59" fillId="0" borderId="0" xfId="1" applyFont="1"/>
    <xf numFmtId="0" fontId="92" fillId="0" borderId="9" xfId="0" applyFont="1" applyBorder="1" applyAlignment="1">
      <alignment horizontal="left"/>
    </xf>
    <xf numFmtId="0" fontId="92" fillId="0" borderId="9" xfId="0" applyFont="1" applyBorder="1" applyAlignment="1">
      <alignment horizontal="center"/>
    </xf>
    <xf numFmtId="0" fontId="59" fillId="0" borderId="9" xfId="0" applyFont="1" applyBorder="1"/>
    <xf numFmtId="165" fontId="59" fillId="0" borderId="9" xfId="1" applyNumberFormat="1" applyFont="1" applyBorder="1"/>
    <xf numFmtId="0" fontId="59" fillId="0" borderId="0" xfId="0" applyFont="1" applyAlignment="1">
      <alignment horizontal="left" indent="2"/>
    </xf>
    <xf numFmtId="0" fontId="59" fillId="0" borderId="0" xfId="0" applyFont="1" applyAlignment="1">
      <alignment wrapText="1"/>
    </xf>
    <xf numFmtId="0" fontId="92" fillId="0" borderId="0" xfId="0" applyFont="1" applyAlignment="1">
      <alignment horizontal="left" indent="2"/>
    </xf>
    <xf numFmtId="44" fontId="59" fillId="0" borderId="0" xfId="0" applyNumberFormat="1" applyFont="1"/>
    <xf numFmtId="165" fontId="92" fillId="0" borderId="0" xfId="1" applyNumberFormat="1" applyFont="1" applyAlignment="1">
      <alignment horizontal="center"/>
    </xf>
    <xf numFmtId="165" fontId="59" fillId="0" borderId="0" xfId="1" applyNumberFormat="1" applyFont="1" applyBorder="1" applyAlignment="1">
      <alignment horizontal="left"/>
    </xf>
    <xf numFmtId="164" fontId="59" fillId="0" borderId="0" xfId="2" applyNumberFormat="1" applyFont="1" applyBorder="1" applyAlignment="1">
      <alignment horizontal="left"/>
    </xf>
    <xf numFmtId="0" fontId="59" fillId="0" borderId="0" xfId="0" applyFont="1" applyAlignment="1">
      <alignment vertical="top" wrapText="1"/>
    </xf>
    <xf numFmtId="0" fontId="59" fillId="0" borderId="0" xfId="0" applyFont="1" applyAlignment="1">
      <alignment horizontal="left" vertical="top" wrapText="1"/>
    </xf>
    <xf numFmtId="0" fontId="94" fillId="0" borderId="0" xfId="0" applyFont="1"/>
    <xf numFmtId="165" fontId="95" fillId="0" borderId="0" xfId="1" applyNumberFormat="1" applyFont="1" applyAlignment="1">
      <alignment horizontal="center"/>
    </xf>
    <xf numFmtId="165" fontId="95" fillId="0" borderId="0" xfId="1" applyNumberFormat="1" applyFont="1"/>
    <xf numFmtId="165" fontId="59" fillId="0" borderId="0" xfId="0" applyNumberFormat="1" applyFont="1"/>
    <xf numFmtId="165" fontId="96" fillId="0" borderId="9" xfId="1" applyNumberFormat="1" applyFont="1" applyBorder="1" applyAlignment="1">
      <alignment horizontal="center"/>
    </xf>
    <xf numFmtId="165" fontId="96" fillId="0" borderId="9" xfId="1" applyNumberFormat="1" applyFont="1" applyBorder="1"/>
    <xf numFmtId="17" fontId="97" fillId="4" borderId="9" xfId="0" applyNumberFormat="1" applyFont="1" applyFill="1" applyBorder="1" applyAlignment="1">
      <alignment horizontal="center"/>
    </xf>
    <xf numFmtId="0" fontId="99" fillId="0" borderId="0" xfId="0" applyFont="1"/>
    <xf numFmtId="165" fontId="99" fillId="0" borderId="0" xfId="1" applyNumberFormat="1" applyFont="1"/>
    <xf numFmtId="0" fontId="100" fillId="0" borderId="0" xfId="0" applyFont="1"/>
    <xf numFmtId="165" fontId="100" fillId="0" borderId="0" xfId="1" applyNumberFormat="1" applyFont="1"/>
    <xf numFmtId="165" fontId="100" fillId="0" borderId="0" xfId="2" applyNumberFormat="1" applyFont="1" applyBorder="1" applyAlignment="1">
      <alignment horizontal="right"/>
    </xf>
    <xf numFmtId="165" fontId="99" fillId="0" borderId="0" xfId="2" applyNumberFormat="1" applyFont="1" applyBorder="1" applyAlignment="1">
      <alignment horizontal="right"/>
    </xf>
    <xf numFmtId="0" fontId="96" fillId="0" borderId="0" xfId="0" applyFont="1"/>
    <xf numFmtId="0" fontId="101" fillId="0" borderId="0" xfId="0" applyFont="1"/>
    <xf numFmtId="165" fontId="101" fillId="0" borderId="0" xfId="2" applyNumberFormat="1" applyFont="1" applyBorder="1" applyAlignment="1">
      <alignment horizontal="right"/>
    </xf>
    <xf numFmtId="0" fontId="98" fillId="8" borderId="0" xfId="0" applyFont="1" applyFill="1" applyAlignment="1">
      <alignment horizontal="left" wrapText="1"/>
    </xf>
    <xf numFmtId="0" fontId="98" fillId="8" borderId="0" xfId="0" applyFont="1" applyFill="1" applyAlignment="1">
      <alignment horizontal="center" wrapText="1"/>
    </xf>
    <xf numFmtId="49" fontId="98" fillId="13" borderId="167" xfId="0" applyNumberFormat="1" applyFont="1" applyFill="1" applyBorder="1" applyAlignment="1">
      <alignment wrapText="1"/>
    </xf>
    <xf numFmtId="0" fontId="98" fillId="5" borderId="31" xfId="0" applyFont="1" applyFill="1" applyBorder="1" applyAlignment="1">
      <alignment horizontal="center" wrapText="1"/>
    </xf>
    <xf numFmtId="0" fontId="98" fillId="5" borderId="0" xfId="0" applyFont="1" applyFill="1" applyAlignment="1">
      <alignment horizontal="center" wrapText="1"/>
    </xf>
    <xf numFmtId="0" fontId="98" fillId="5" borderId="32" xfId="0" applyFont="1" applyFill="1" applyBorder="1" applyAlignment="1">
      <alignment horizontal="center" wrapText="1"/>
    </xf>
    <xf numFmtId="49" fontId="98" fillId="8" borderId="31" xfId="0" applyNumberFormat="1" applyFont="1" applyFill="1" applyBorder="1" applyAlignment="1">
      <alignment horizontal="center" wrapText="1"/>
    </xf>
    <xf numFmtId="49" fontId="98" fillId="8" borderId="0" xfId="0" applyNumberFormat="1" applyFont="1" applyFill="1" applyAlignment="1">
      <alignment horizontal="center" wrapText="1"/>
    </xf>
    <xf numFmtId="49" fontId="98" fillId="9" borderId="35" xfId="0" applyNumberFormat="1" applyFont="1" applyFill="1" applyBorder="1" applyAlignment="1">
      <alignment horizontal="center" wrapText="1"/>
    </xf>
    <xf numFmtId="49" fontId="98" fillId="9" borderId="0" xfId="0" applyNumberFormat="1" applyFont="1" applyFill="1" applyAlignment="1">
      <alignment horizontal="center" wrapText="1"/>
    </xf>
    <xf numFmtId="49" fontId="98" fillId="13" borderId="166" xfId="0" applyNumberFormat="1" applyFont="1" applyFill="1" applyBorder="1" applyAlignment="1">
      <alignment horizontal="center" wrapText="1"/>
    </xf>
    <xf numFmtId="0" fontId="103" fillId="0" borderId="0" xfId="0" applyFont="1"/>
    <xf numFmtId="165" fontId="104" fillId="0" borderId="0" xfId="1" applyNumberFormat="1" applyFont="1"/>
    <xf numFmtId="0" fontId="93" fillId="0" borderId="0" xfId="0" applyFont="1"/>
    <xf numFmtId="0" fontId="105" fillId="0" borderId="0" xfId="0" applyFont="1" applyAlignment="1">
      <alignment horizontal="center"/>
    </xf>
    <xf numFmtId="165" fontId="93" fillId="0" borderId="0" xfId="1" applyNumberFormat="1" applyFont="1"/>
    <xf numFmtId="165" fontId="59" fillId="0" borderId="0" xfId="1" applyNumberFormat="1" applyFont="1" applyBorder="1"/>
    <xf numFmtId="0" fontId="106" fillId="0" borderId="0" xfId="0" applyFont="1"/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7" fillId="0" borderId="0" xfId="0" applyFont="1"/>
    <xf numFmtId="0" fontId="108" fillId="0" borderId="0" xfId="0" applyFont="1"/>
    <xf numFmtId="165" fontId="108" fillId="0" borderId="0" xfId="1" applyNumberFormat="1" applyFont="1" applyAlignment="1">
      <alignment horizontal="right"/>
    </xf>
    <xf numFmtId="165" fontId="108" fillId="0" borderId="0" xfId="1" applyNumberFormat="1" applyFont="1"/>
    <xf numFmtId="165" fontId="108" fillId="0" borderId="0" xfId="1" applyNumberFormat="1" applyFont="1" applyBorder="1" applyAlignment="1">
      <alignment horizontal="right"/>
    </xf>
    <xf numFmtId="0" fontId="109" fillId="0" borderId="0" xfId="0" applyFont="1"/>
    <xf numFmtId="165" fontId="109" fillId="0" borderId="0" xfId="1" applyNumberFormat="1" applyFont="1"/>
    <xf numFmtId="165" fontId="108" fillId="0" borderId="0" xfId="1" applyNumberFormat="1" applyFont="1" applyBorder="1"/>
    <xf numFmtId="165" fontId="109" fillId="0" borderId="0" xfId="2" applyNumberFormat="1" applyFont="1" applyBorder="1" applyAlignment="1">
      <alignment horizontal="right"/>
    </xf>
    <xf numFmtId="165" fontId="108" fillId="0" borderId="0" xfId="2" applyNumberFormat="1" applyFont="1" applyBorder="1" applyAlignment="1">
      <alignment horizontal="right"/>
    </xf>
    <xf numFmtId="0" fontId="109" fillId="0" borderId="2" xfId="0" applyFont="1" applyBorder="1"/>
    <xf numFmtId="165" fontId="109" fillId="0" borderId="2" xfId="2" applyNumberFormat="1" applyFont="1" applyBorder="1" applyAlignment="1">
      <alignment horizontal="right"/>
    </xf>
    <xf numFmtId="0" fontId="107" fillId="4" borderId="9" xfId="0" applyFont="1" applyFill="1" applyBorder="1"/>
    <xf numFmtId="17" fontId="110" fillId="4" borderId="9" xfId="0" applyNumberFormat="1" applyFont="1" applyFill="1" applyBorder="1" applyAlignment="1">
      <alignment horizontal="center"/>
    </xf>
    <xf numFmtId="165" fontId="106" fillId="0" borderId="0" xfId="1" applyNumberFormat="1" applyFont="1" applyAlignment="1">
      <alignment horizontal="center"/>
    </xf>
    <xf numFmtId="165" fontId="106" fillId="0" borderId="0" xfId="0" applyNumberFormat="1" applyFont="1" applyAlignment="1">
      <alignment horizontal="center"/>
    </xf>
    <xf numFmtId="165" fontId="106" fillId="0" borderId="0" xfId="1" applyNumberFormat="1" applyFont="1" applyBorder="1" applyAlignment="1">
      <alignment horizontal="right"/>
    </xf>
    <xf numFmtId="165" fontId="106" fillId="0" borderId="0" xfId="2" applyNumberFormat="1" applyFont="1" applyBorder="1" applyAlignment="1">
      <alignment horizontal="right"/>
    </xf>
    <xf numFmtId="0" fontId="109" fillId="4" borderId="44" xfId="0" applyFont="1" applyFill="1" applyBorder="1"/>
    <xf numFmtId="165" fontId="109" fillId="4" borderId="44" xfId="2" applyNumberFormat="1" applyFont="1" applyFill="1" applyBorder="1" applyAlignment="1">
      <alignment horizontal="right"/>
    </xf>
    <xf numFmtId="0" fontId="110" fillId="0" borderId="0" xfId="0" applyFont="1" applyAlignment="1">
      <alignment horizontal="center"/>
    </xf>
    <xf numFmtId="9" fontId="106" fillId="0" borderId="0" xfId="2" applyFont="1" applyFill="1" applyBorder="1"/>
    <xf numFmtId="165" fontId="106" fillId="0" borderId="0" xfId="1" applyNumberFormat="1" applyFont="1"/>
    <xf numFmtId="0" fontId="111" fillId="0" borderId="0" xfId="0" applyFont="1" applyAlignment="1">
      <alignment horizontal="left" indent="2"/>
    </xf>
    <xf numFmtId="0" fontId="111" fillId="0" borderId="0" xfId="0" applyFont="1" applyAlignment="1">
      <alignment horizontal="left" wrapText="1" indent="2"/>
    </xf>
    <xf numFmtId="0" fontId="111" fillId="0" borderId="0" xfId="0" applyFont="1"/>
    <xf numFmtId="0" fontId="111" fillId="0" borderId="0" xfId="0" applyFont="1" applyAlignment="1">
      <alignment horizontal="left"/>
    </xf>
    <xf numFmtId="0" fontId="112" fillId="0" borderId="0" xfId="0" applyFont="1" applyAlignment="1">
      <alignment horizontal="center"/>
    </xf>
    <xf numFmtId="165" fontId="111" fillId="0" borderId="0" xfId="1" applyNumberFormat="1" applyFont="1"/>
    <xf numFmtId="0" fontId="111" fillId="0" borderId="60" xfId="0" applyFont="1" applyBorder="1" applyAlignment="1">
      <alignment horizontal="left"/>
    </xf>
    <xf numFmtId="0" fontId="111" fillId="0" borderId="60" xfId="0" applyFont="1" applyBorder="1" applyAlignment="1">
      <alignment horizontal="left" indent="2"/>
    </xf>
    <xf numFmtId="0" fontId="112" fillId="0" borderId="60" xfId="0" applyFont="1" applyBorder="1" applyAlignment="1">
      <alignment horizontal="center"/>
    </xf>
    <xf numFmtId="165" fontId="111" fillId="0" borderId="60" xfId="1" applyNumberFormat="1" applyFont="1" applyBorder="1"/>
    <xf numFmtId="0" fontId="111" fillId="0" borderId="60" xfId="0" applyFont="1" applyBorder="1"/>
    <xf numFmtId="0" fontId="113" fillId="0" borderId="0" xfId="0" applyFont="1"/>
    <xf numFmtId="3" fontId="114" fillId="0" borderId="0" xfId="0" applyNumberFormat="1" applyFont="1" applyAlignment="1">
      <alignment horizontal="center"/>
    </xf>
    <xf numFmtId="0" fontId="114" fillId="0" borderId="0" xfId="0" applyFont="1" applyAlignment="1">
      <alignment horizontal="center"/>
    </xf>
    <xf numFmtId="165" fontId="114" fillId="0" borderId="0" xfId="1" applyNumberFormat="1" applyFont="1"/>
    <xf numFmtId="44" fontId="114" fillId="0" borderId="0" xfId="0" applyNumberFormat="1" applyFont="1"/>
    <xf numFmtId="165" fontId="114" fillId="0" borderId="0" xfId="0" applyNumberFormat="1" applyFont="1"/>
    <xf numFmtId="44" fontId="114" fillId="0" borderId="0" xfId="1" applyFont="1"/>
    <xf numFmtId="165" fontId="108" fillId="0" borderId="35" xfId="0" applyNumberFormat="1" applyFont="1" applyBorder="1"/>
    <xf numFmtId="0" fontId="113" fillId="15" borderId="0" xfId="0" applyFont="1" applyFill="1"/>
    <xf numFmtId="3" fontId="114" fillId="15" borderId="0" xfId="0" applyNumberFormat="1" applyFont="1" applyFill="1" applyAlignment="1">
      <alignment horizontal="center"/>
    </xf>
    <xf numFmtId="0" fontId="114" fillId="15" borderId="0" xfId="0" applyFont="1" applyFill="1" applyAlignment="1">
      <alignment horizontal="center"/>
    </xf>
    <xf numFmtId="165" fontId="114" fillId="15" borderId="0" xfId="1" applyNumberFormat="1" applyFont="1" applyFill="1"/>
    <xf numFmtId="44" fontId="114" fillId="15" borderId="0" xfId="0" applyNumberFormat="1" applyFont="1" applyFill="1"/>
    <xf numFmtId="165" fontId="114" fillId="15" borderId="0" xfId="0" applyNumberFormat="1" applyFont="1" applyFill="1"/>
    <xf numFmtId="165" fontId="108" fillId="15" borderId="35" xfId="0" applyNumberFormat="1" applyFont="1" applyFill="1" applyBorder="1"/>
    <xf numFmtId="165" fontId="115" fillId="0" borderId="0" xfId="0" applyNumberFormat="1" applyFont="1"/>
    <xf numFmtId="165" fontId="115" fillId="0" borderId="35" xfId="0" applyNumberFormat="1" applyFont="1" applyBorder="1"/>
    <xf numFmtId="165" fontId="115" fillId="15" borderId="0" xfId="0" applyNumberFormat="1" applyFont="1" applyFill="1"/>
    <xf numFmtId="165" fontId="115" fillId="15" borderId="35" xfId="0" applyNumberFormat="1" applyFont="1" applyFill="1" applyBorder="1"/>
    <xf numFmtId="165" fontId="114" fillId="0" borderId="0" xfId="1" applyNumberFormat="1" applyFont="1" applyBorder="1"/>
    <xf numFmtId="0" fontId="113" fillId="15" borderId="29" xfId="0" applyFont="1" applyFill="1" applyBorder="1"/>
    <xf numFmtId="3" fontId="114" fillId="15" borderId="29" xfId="0" applyNumberFormat="1" applyFont="1" applyFill="1" applyBorder="1" applyAlignment="1">
      <alignment horizontal="center"/>
    </xf>
    <xf numFmtId="0" fontId="114" fillId="15" borderId="29" xfId="0" applyFont="1" applyFill="1" applyBorder="1" applyAlignment="1">
      <alignment horizontal="center"/>
    </xf>
    <xf numFmtId="165" fontId="114" fillId="15" borderId="29" xfId="1" applyNumberFormat="1" applyFont="1" applyFill="1" applyBorder="1"/>
    <xf numFmtId="44" fontId="114" fillId="15" borderId="29" xfId="0" applyNumberFormat="1" applyFont="1" applyFill="1" applyBorder="1"/>
    <xf numFmtId="165" fontId="114" fillId="15" borderId="29" xfId="0" applyNumberFormat="1" applyFont="1" applyFill="1" applyBorder="1"/>
    <xf numFmtId="165" fontId="108" fillId="15" borderId="39" xfId="0" applyNumberFormat="1" applyFont="1" applyFill="1" applyBorder="1"/>
    <xf numFmtId="3" fontId="113" fillId="0" borderId="0" xfId="0" applyNumberFormat="1" applyFont="1" applyAlignment="1">
      <alignment horizontal="center"/>
    </xf>
    <xf numFmtId="0" fontId="113" fillId="0" borderId="0" xfId="0" applyFont="1" applyAlignment="1">
      <alignment horizontal="center"/>
    </xf>
    <xf numFmtId="44" fontId="113" fillId="0" borderId="0" xfId="0" applyNumberFormat="1" applyFont="1" applyAlignment="1">
      <alignment horizontal="center"/>
    </xf>
    <xf numFmtId="165" fontId="113" fillId="0" borderId="0" xfId="0" applyNumberFormat="1" applyFont="1"/>
    <xf numFmtId="17" fontId="35" fillId="0" borderId="0" xfId="0" quotePrefix="1" applyNumberFormat="1" applyFont="1" applyAlignment="1">
      <alignment horizontal="center"/>
    </xf>
    <xf numFmtId="164" fontId="32" fillId="0" borderId="0" xfId="2" applyNumberFormat="1" applyFont="1" applyFill="1" applyAlignment="1">
      <alignment horizontal="left"/>
    </xf>
    <xf numFmtId="0" fontId="6" fillId="13" borderId="155" xfId="0" applyFont="1" applyFill="1" applyBorder="1"/>
    <xf numFmtId="0" fontId="6" fillId="13" borderId="156" xfId="0" applyFont="1" applyFill="1" applyBorder="1"/>
    <xf numFmtId="0" fontId="6" fillId="13" borderId="158" xfId="0" applyFont="1" applyFill="1" applyBorder="1"/>
    <xf numFmtId="0" fontId="6" fillId="13" borderId="157" xfId="0" applyFont="1" applyFill="1" applyBorder="1"/>
    <xf numFmtId="0" fontId="51" fillId="0" borderId="4" xfId="0" applyFont="1" applyBorder="1" applyAlignment="1">
      <alignment horizontal="center"/>
    </xf>
    <xf numFmtId="0" fontId="118" fillId="16" borderId="17" xfId="0" applyFont="1" applyFill="1" applyBorder="1"/>
    <xf numFmtId="14" fontId="118" fillId="16" borderId="17" xfId="0" applyNumberFormat="1" applyFont="1" applyFill="1" applyBorder="1"/>
    <xf numFmtId="0" fontId="118" fillId="16" borderId="17" xfId="0" applyFont="1" applyFill="1" applyBorder="1" applyAlignment="1">
      <alignment horizontal="center"/>
    </xf>
    <xf numFmtId="0" fontId="11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4" fontId="59" fillId="24" borderId="0" xfId="0" applyNumberFormat="1" applyFont="1" applyFill="1" applyAlignment="1">
      <alignment horizontal="center"/>
    </xf>
    <xf numFmtId="165" fontId="113" fillId="0" borderId="0" xfId="0" applyNumberFormat="1" applyFont="1" applyAlignment="1">
      <alignment horizontal="center"/>
    </xf>
    <xf numFmtId="0" fontId="40" fillId="0" borderId="7" xfId="0" applyFont="1" applyBorder="1" applyAlignment="1">
      <alignment horizontal="left" vertical="top" wrapText="1"/>
    </xf>
    <xf numFmtId="44" fontId="100" fillId="0" borderId="0" xfId="1" applyFont="1"/>
    <xf numFmtId="167" fontId="69" fillId="0" borderId="50" xfId="3" applyNumberFormat="1" applyFont="1" applyFill="1" applyBorder="1" applyAlignment="1">
      <alignment horizontal="right"/>
    </xf>
    <xf numFmtId="43" fontId="69" fillId="0" borderId="95" xfId="0" applyNumberFormat="1" applyFont="1" applyBorder="1" applyAlignment="1">
      <alignment horizontal="right"/>
    </xf>
    <xf numFmtId="167" fontId="69" fillId="0" borderId="51" xfId="3" applyNumberFormat="1" applyFont="1" applyFill="1" applyBorder="1" applyAlignment="1">
      <alignment horizontal="right"/>
    </xf>
    <xf numFmtId="167" fontId="69" fillId="0" borderId="96" xfId="3" applyNumberFormat="1" applyFont="1" applyFill="1" applyBorder="1" applyAlignment="1">
      <alignment horizontal="right"/>
    </xf>
    <xf numFmtId="43" fontId="69" fillId="0" borderId="97" xfId="0" applyNumberFormat="1" applyFont="1" applyBorder="1" applyAlignment="1">
      <alignment horizontal="right"/>
    </xf>
    <xf numFmtId="17" fontId="110" fillId="4" borderId="10" xfId="0" applyNumberFormat="1" applyFont="1" applyFill="1" applyBorder="1" applyAlignment="1">
      <alignment horizontal="center"/>
    </xf>
    <xf numFmtId="17" fontId="93" fillId="0" borderId="6" xfId="0" applyNumberFormat="1" applyFont="1" applyBorder="1" applyAlignment="1">
      <alignment horizontal="center"/>
    </xf>
    <xf numFmtId="165" fontId="108" fillId="0" borderId="6" xfId="1" applyNumberFormat="1" applyFont="1" applyBorder="1" applyAlignment="1">
      <alignment horizontal="right"/>
    </xf>
    <xf numFmtId="165" fontId="108" fillId="0" borderId="6" xfId="1" applyNumberFormat="1" applyFont="1" applyBorder="1"/>
    <xf numFmtId="165" fontId="109" fillId="0" borderId="6" xfId="1" applyNumberFormat="1" applyFont="1" applyBorder="1"/>
    <xf numFmtId="165" fontId="109" fillId="0" borderId="6" xfId="2" applyNumberFormat="1" applyFont="1" applyBorder="1" applyAlignment="1">
      <alignment horizontal="right"/>
    </xf>
    <xf numFmtId="165" fontId="108" fillId="0" borderId="6" xfId="2" applyNumberFormat="1" applyFont="1" applyBorder="1" applyAlignment="1">
      <alignment horizontal="right"/>
    </xf>
    <xf numFmtId="0" fontId="107" fillId="4" borderId="0" xfId="0" applyFont="1" applyFill="1"/>
    <xf numFmtId="17" fontId="107" fillId="4" borderId="0" xfId="0" applyNumberFormat="1" applyFont="1" applyFill="1" applyAlignment="1">
      <alignment horizontal="center"/>
    </xf>
    <xf numFmtId="165" fontId="106" fillId="0" borderId="6" xfId="1" applyNumberFormat="1" applyFont="1" applyBorder="1" applyAlignment="1">
      <alignment horizontal="center"/>
    </xf>
    <xf numFmtId="165" fontId="106" fillId="0" borderId="6" xfId="1" applyNumberFormat="1" applyFont="1" applyBorder="1" applyAlignment="1">
      <alignment horizontal="right"/>
    </xf>
    <xf numFmtId="165" fontId="109" fillId="4" borderId="20" xfId="2" applyNumberFormat="1" applyFont="1" applyFill="1" applyBorder="1" applyAlignment="1">
      <alignment horizontal="right"/>
    </xf>
    <xf numFmtId="38" fontId="19" fillId="4" borderId="10" xfId="2" applyNumberFormat="1" applyFont="1" applyFill="1" applyBorder="1" applyAlignment="1">
      <alignment horizontal="center"/>
    </xf>
    <xf numFmtId="1" fontId="70" fillId="0" borderId="172" xfId="2" applyNumberFormat="1" applyFont="1" applyBorder="1" applyAlignment="1">
      <alignment horizontal="center"/>
    </xf>
    <xf numFmtId="9" fontId="80" fillId="0" borderId="173" xfId="2" applyFont="1" applyFill="1" applyBorder="1" applyAlignment="1">
      <alignment horizontal="center"/>
    </xf>
    <xf numFmtId="0" fontId="70" fillId="4" borderId="11" xfId="0" applyFont="1" applyFill="1" applyBorder="1" applyAlignment="1">
      <alignment horizontal="center" wrapText="1"/>
    </xf>
    <xf numFmtId="0" fontId="69" fillId="0" borderId="4" xfId="0" applyFont="1" applyBorder="1"/>
    <xf numFmtId="0" fontId="124" fillId="0" borderId="0" xfId="0" applyFont="1"/>
    <xf numFmtId="0" fontId="124" fillId="0" borderId="0" xfId="0" applyFont="1" applyAlignment="1">
      <alignment horizontal="right"/>
    </xf>
    <xf numFmtId="0" fontId="124" fillId="4" borderId="17" xfId="0" applyFont="1" applyFill="1" applyBorder="1" applyAlignment="1">
      <alignment horizontal="right"/>
    </xf>
    <xf numFmtId="0" fontId="124" fillId="4" borderId="4" xfId="0" applyFont="1" applyFill="1" applyBorder="1"/>
    <xf numFmtId="9" fontId="124" fillId="4" borderId="17" xfId="2" applyFont="1" applyFill="1" applyBorder="1" applyAlignment="1">
      <alignment horizontal="center"/>
    </xf>
    <xf numFmtId="0" fontId="40" fillId="0" borderId="0" xfId="0" applyFont="1" applyAlignment="1">
      <alignment horizontal="left" vertical="top" wrapText="1"/>
    </xf>
    <xf numFmtId="0" fontId="66" fillId="0" borderId="0" xfId="0" applyFont="1" applyAlignment="1">
      <alignment horizontal="left" vertical="top" wrapText="1"/>
    </xf>
    <xf numFmtId="0" fontId="125" fillId="0" borderId="5" xfId="0" applyFont="1" applyBorder="1" applyAlignment="1">
      <alignment horizontal="left" vertical="top" indent="1"/>
    </xf>
    <xf numFmtId="0" fontId="125" fillId="0" borderId="5" xfId="0" applyFont="1" applyBorder="1" applyAlignment="1">
      <alignment horizontal="left" vertical="center" indent="1"/>
    </xf>
    <xf numFmtId="0" fontId="19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center" indent="1"/>
    </xf>
    <xf numFmtId="0" fontId="5" fillId="0" borderId="7" xfId="0" applyFont="1" applyBorder="1" applyAlignment="1">
      <alignment horizontal="left" vertical="top" wrapText="1"/>
    </xf>
    <xf numFmtId="14" fontId="91" fillId="0" borderId="9" xfId="0" applyNumberFormat="1" applyFont="1" applyBorder="1"/>
    <xf numFmtId="0" fontId="5" fillId="0" borderId="9" xfId="0" applyFont="1" applyBorder="1"/>
    <xf numFmtId="0" fontId="5" fillId="0" borderId="11" xfId="0" applyFont="1" applyBorder="1"/>
    <xf numFmtId="165" fontId="109" fillId="4" borderId="18" xfId="2" applyNumberFormat="1" applyFont="1" applyFill="1" applyBorder="1" applyAlignment="1">
      <alignment horizontal="right"/>
    </xf>
    <xf numFmtId="165" fontId="100" fillId="0" borderId="0" xfId="0" applyNumberFormat="1" applyFont="1"/>
    <xf numFmtId="0" fontId="107" fillId="0" borderId="29" xfId="0" applyFont="1" applyBorder="1"/>
    <xf numFmtId="0" fontId="69" fillId="0" borderId="118" xfId="0" applyFont="1" applyBorder="1" applyAlignment="1">
      <alignment horizontal="center"/>
    </xf>
    <xf numFmtId="0" fontId="109" fillId="4" borderId="21" xfId="0" applyFont="1" applyFill="1" applyBorder="1"/>
    <xf numFmtId="165" fontId="109" fillId="4" borderId="22" xfId="2" applyNumberFormat="1" applyFont="1" applyFill="1" applyBorder="1" applyAlignment="1">
      <alignment horizontal="right"/>
    </xf>
    <xf numFmtId="165" fontId="109" fillId="4" borderId="23" xfId="2" applyNumberFormat="1" applyFont="1" applyFill="1" applyBorder="1" applyAlignment="1">
      <alignment horizontal="right"/>
    </xf>
    <xf numFmtId="165" fontId="99" fillId="0" borderId="46" xfId="2" applyNumberFormat="1" applyFont="1" applyBorder="1" applyAlignment="1">
      <alignment horizontal="right"/>
    </xf>
    <xf numFmtId="0" fontId="107" fillId="4" borderId="69" xfId="0" applyFont="1" applyFill="1" applyBorder="1"/>
    <xf numFmtId="17" fontId="107" fillId="4" borderId="46" xfId="0" applyNumberFormat="1" applyFont="1" applyFill="1" applyBorder="1" applyAlignment="1">
      <alignment horizontal="center"/>
    </xf>
    <xf numFmtId="17" fontId="107" fillId="4" borderId="42" xfId="0" applyNumberFormat="1" applyFont="1" applyFill="1" applyBorder="1" applyAlignment="1">
      <alignment horizontal="center"/>
    </xf>
    <xf numFmtId="17" fontId="107" fillId="4" borderId="70" xfId="0" applyNumberFormat="1" applyFont="1" applyFill="1" applyBorder="1" applyAlignment="1">
      <alignment horizontal="center"/>
    </xf>
    <xf numFmtId="0" fontId="107" fillId="4" borderId="28" xfId="0" applyFont="1" applyFill="1" applyBorder="1"/>
    <xf numFmtId="17" fontId="127" fillId="4" borderId="29" xfId="0" applyNumberFormat="1" applyFont="1" applyFill="1" applyBorder="1" applyAlignment="1">
      <alignment horizontal="center"/>
    </xf>
    <xf numFmtId="17" fontId="127" fillId="4" borderId="16" xfId="0" applyNumberFormat="1" applyFont="1" applyFill="1" applyBorder="1" applyAlignment="1">
      <alignment horizontal="center"/>
    </xf>
    <xf numFmtId="17" fontId="110" fillId="4" borderId="29" xfId="0" applyNumberFormat="1" applyFont="1" applyFill="1" applyBorder="1" applyAlignment="1">
      <alignment horizontal="center"/>
    </xf>
    <xf numFmtId="17" fontId="110" fillId="4" borderId="30" xfId="0" applyNumberFormat="1" applyFont="1" applyFill="1" applyBorder="1" applyAlignment="1">
      <alignment horizontal="center"/>
    </xf>
    <xf numFmtId="165" fontId="128" fillId="0" borderId="0" xfId="2" applyNumberFormat="1" applyFont="1" applyBorder="1" applyAlignment="1">
      <alignment horizontal="right"/>
    </xf>
    <xf numFmtId="165" fontId="108" fillId="0" borderId="9" xfId="1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59" fillId="0" borderId="0" xfId="0" applyFont="1" applyAlignment="1">
      <alignment horizontal="center" wrapText="1"/>
    </xf>
    <xf numFmtId="44" fontId="92" fillId="0" borderId="0" xfId="1" applyFont="1"/>
    <xf numFmtId="44" fontId="93" fillId="0" borderId="0" xfId="1" applyFont="1"/>
    <xf numFmtId="44" fontId="93" fillId="0" borderId="0" xfId="0" applyNumberFormat="1" applyFont="1"/>
    <xf numFmtId="44" fontId="92" fillId="0" borderId="0" xfId="0" applyNumberFormat="1" applyFont="1"/>
    <xf numFmtId="9" fontId="59" fillId="0" borderId="0" xfId="2" applyFont="1"/>
    <xf numFmtId="0" fontId="110" fillId="0" borderId="0" xfId="0" applyFont="1" applyAlignment="1">
      <alignment horizontal="left"/>
    </xf>
    <xf numFmtId="165" fontId="130" fillId="0" borderId="0" xfId="1" applyNumberFormat="1" applyFont="1" applyBorder="1" applyAlignment="1">
      <alignment horizontal="left"/>
    </xf>
    <xf numFmtId="0" fontId="130" fillId="0" borderId="0" xfId="0" applyFont="1" applyAlignment="1">
      <alignment horizontal="center"/>
    </xf>
    <xf numFmtId="4" fontId="120" fillId="0" borderId="169" xfId="0" applyNumberFormat="1" applyFont="1" applyBorder="1" applyAlignment="1">
      <alignment horizontal="right" vertical="top" shrinkToFit="1"/>
    </xf>
    <xf numFmtId="2" fontId="120" fillId="0" borderId="169" xfId="0" applyNumberFormat="1" applyFont="1" applyBorder="1" applyAlignment="1">
      <alignment horizontal="right" vertical="top" shrinkToFit="1"/>
    </xf>
    <xf numFmtId="1" fontId="120" fillId="0" borderId="169" xfId="0" applyNumberFormat="1" applyFont="1" applyBorder="1" applyAlignment="1">
      <alignment horizontal="right" vertical="top" shrinkToFit="1"/>
    </xf>
    <xf numFmtId="169" fontId="120" fillId="0" borderId="169" xfId="0" applyNumberFormat="1" applyFont="1" applyBorder="1" applyAlignment="1">
      <alignment horizontal="left" vertical="top" shrinkToFit="1"/>
    </xf>
    <xf numFmtId="0" fontId="0" fillId="0" borderId="169" xfId="0" applyBorder="1" applyAlignment="1">
      <alignment horizontal="left" wrapText="1"/>
    </xf>
    <xf numFmtId="0" fontId="119" fillId="0" borderId="169" xfId="0" applyFont="1" applyBorder="1" applyAlignment="1">
      <alignment horizontal="left" vertical="top" wrapText="1"/>
    </xf>
    <xf numFmtId="0" fontId="119" fillId="0" borderId="169" xfId="0" applyFont="1" applyBorder="1" applyAlignment="1">
      <alignment horizontal="center" vertical="top" wrapText="1"/>
    </xf>
    <xf numFmtId="0" fontId="131" fillId="0" borderId="169" xfId="0" applyFont="1" applyBorder="1" applyAlignment="1">
      <alignment horizontal="left" vertical="top" wrapText="1"/>
    </xf>
    <xf numFmtId="0" fontId="131" fillId="0" borderId="169" xfId="0" applyFont="1" applyBorder="1" applyAlignment="1">
      <alignment horizontal="center" vertical="top" wrapText="1"/>
    </xf>
    <xf numFmtId="0" fontId="131" fillId="0" borderId="171" xfId="0" applyFont="1" applyBorder="1" applyAlignment="1">
      <alignment horizontal="left" vertical="top" wrapText="1"/>
    </xf>
    <xf numFmtId="4" fontId="120" fillId="0" borderId="171" xfId="0" applyNumberFormat="1" applyFont="1" applyBorder="1" applyAlignment="1">
      <alignment horizontal="right" vertical="top" shrinkToFit="1"/>
    </xf>
    <xf numFmtId="2" fontId="120" fillId="0" borderId="171" xfId="0" applyNumberFormat="1" applyFont="1" applyBorder="1" applyAlignment="1">
      <alignment horizontal="right" vertical="top" shrinkToFit="1"/>
    </xf>
    <xf numFmtId="0" fontId="0" fillId="0" borderId="171" xfId="0" applyBorder="1" applyAlignment="1">
      <alignment horizontal="left" wrapText="1"/>
    </xf>
    <xf numFmtId="169" fontId="120" fillId="0" borderId="171" xfId="0" applyNumberFormat="1" applyFont="1" applyBorder="1" applyAlignment="1">
      <alignment horizontal="left" vertical="top" shrinkToFit="1"/>
    </xf>
    <xf numFmtId="0" fontId="0" fillId="0" borderId="169" xfId="0" applyBorder="1" applyAlignment="1">
      <alignment horizontal="left" vertical="center" wrapText="1"/>
    </xf>
    <xf numFmtId="0" fontId="0" fillId="20" borderId="0" xfId="0" applyFill="1"/>
    <xf numFmtId="0" fontId="132" fillId="20" borderId="169" xfId="0" applyFont="1" applyFill="1" applyBorder="1" applyAlignment="1">
      <alignment horizontal="left" vertical="top" wrapText="1"/>
    </xf>
    <xf numFmtId="0" fontId="132" fillId="20" borderId="169" xfId="0" applyFont="1" applyFill="1" applyBorder="1" applyAlignment="1">
      <alignment horizontal="right" vertical="top" wrapText="1"/>
    </xf>
    <xf numFmtId="0" fontId="132" fillId="20" borderId="169" xfId="0" applyFont="1" applyFill="1" applyBorder="1" applyAlignment="1">
      <alignment horizontal="center" vertical="top" wrapText="1"/>
    </xf>
    <xf numFmtId="0" fontId="129" fillId="20" borderId="170" xfId="0" applyFont="1" applyFill="1" applyBorder="1" applyAlignment="1">
      <alignment horizontal="left" wrapText="1"/>
    </xf>
    <xf numFmtId="0" fontId="132" fillId="20" borderId="170" xfId="0" applyFont="1" applyFill="1" applyBorder="1" applyAlignment="1">
      <alignment horizontal="right" vertical="top" wrapText="1"/>
    </xf>
    <xf numFmtId="0" fontId="132" fillId="20" borderId="170" xfId="0" applyFont="1" applyFill="1" applyBorder="1" applyAlignment="1">
      <alignment horizontal="left" vertical="top" wrapText="1"/>
    </xf>
    <xf numFmtId="0" fontId="111" fillId="0" borderId="61" xfId="0" applyFont="1" applyBorder="1" applyAlignment="1">
      <alignment vertical="top" wrapText="1"/>
    </xf>
    <xf numFmtId="0" fontId="111" fillId="0" borderId="0" xfId="0" applyFont="1" applyAlignment="1">
      <alignment vertical="top" wrapText="1"/>
    </xf>
    <xf numFmtId="0" fontId="133" fillId="0" borderId="60" xfId="0" applyFont="1" applyBorder="1" applyAlignment="1">
      <alignment horizontal="left" indent="2"/>
    </xf>
    <xf numFmtId="0" fontId="133" fillId="0" borderId="60" xfId="0" applyFont="1" applyBorder="1" applyAlignment="1">
      <alignment horizontal="left"/>
    </xf>
    <xf numFmtId="0" fontId="134" fillId="0" borderId="60" xfId="0" applyFont="1" applyBorder="1" applyAlignment="1">
      <alignment horizontal="center"/>
    </xf>
    <xf numFmtId="0" fontId="133" fillId="0" borderId="60" xfId="0" applyFont="1" applyBorder="1"/>
    <xf numFmtId="165" fontId="133" fillId="0" borderId="60" xfId="1" applyNumberFormat="1" applyFont="1" applyBorder="1"/>
    <xf numFmtId="0" fontId="111" fillId="0" borderId="61" xfId="0" applyFont="1" applyBorder="1" applyAlignment="1">
      <alignment vertical="top"/>
    </xf>
    <xf numFmtId="14" fontId="0" fillId="16" borderId="17" xfId="0" applyNumberFormat="1" applyFill="1" applyBorder="1"/>
    <xf numFmtId="0" fontId="126" fillId="0" borderId="5" xfId="0" applyFont="1" applyBorder="1" applyAlignment="1">
      <alignment horizontal="left" vertical="center" indent="1"/>
    </xf>
    <xf numFmtId="0" fontId="136" fillId="0" borderId="8" xfId="0" applyFont="1" applyBorder="1" applyAlignment="1">
      <alignment horizontal="left" vertical="center" indent="1"/>
    </xf>
    <xf numFmtId="0" fontId="59" fillId="24" borderId="0" xfId="0" applyFont="1" applyFill="1" applyAlignment="1">
      <alignment horizontal="center"/>
    </xf>
    <xf numFmtId="9" fontId="80" fillId="0" borderId="115" xfId="2" applyFont="1" applyBorder="1" applyAlignment="1">
      <alignment horizontal="center"/>
    </xf>
    <xf numFmtId="164" fontId="79" fillId="0" borderId="25" xfId="2" applyNumberFormat="1" applyFont="1" applyBorder="1" applyAlignment="1">
      <alignment horizontal="right"/>
    </xf>
    <xf numFmtId="1" fontId="77" fillId="0" borderId="123" xfId="0" applyNumberFormat="1" applyFont="1" applyBorder="1" applyAlignment="1">
      <alignment horizontal="center"/>
    </xf>
    <xf numFmtId="9" fontId="80" fillId="0" borderId="119" xfId="2" applyFont="1" applyBorder="1" applyAlignment="1">
      <alignment horizontal="center"/>
    </xf>
    <xf numFmtId="164" fontId="79" fillId="0" borderId="25" xfId="2" applyNumberFormat="1" applyFont="1" applyBorder="1"/>
    <xf numFmtId="164" fontId="86" fillId="0" borderId="73" xfId="2" applyNumberFormat="1" applyFont="1" applyFill="1" applyBorder="1" applyAlignment="1">
      <alignment horizontal="center"/>
    </xf>
    <xf numFmtId="164" fontId="86" fillId="0" borderId="9" xfId="2" applyNumberFormat="1" applyFont="1" applyFill="1" applyBorder="1" applyAlignment="1">
      <alignment horizontal="center"/>
    </xf>
    <xf numFmtId="1" fontId="70" fillId="0" borderId="177" xfId="2" applyNumberFormat="1" applyFont="1" applyBorder="1" applyAlignment="1">
      <alignment horizontal="center"/>
    </xf>
    <xf numFmtId="9" fontId="80" fillId="0" borderId="178" xfId="2" applyFont="1" applyFill="1" applyBorder="1" applyAlignment="1">
      <alignment horizontal="center"/>
    </xf>
    <xf numFmtId="1" fontId="70" fillId="0" borderId="179" xfId="2" applyNumberFormat="1" applyFont="1" applyBorder="1" applyAlignment="1">
      <alignment horizontal="center"/>
    </xf>
    <xf numFmtId="9" fontId="80" fillId="0" borderId="180" xfId="2" applyFont="1" applyFill="1" applyBorder="1" applyAlignment="1">
      <alignment horizontal="center"/>
    </xf>
    <xf numFmtId="1" fontId="84" fillId="0" borderId="124" xfId="0" applyNumberFormat="1" applyFont="1" applyBorder="1" applyAlignment="1">
      <alignment horizontal="center"/>
    </xf>
    <xf numFmtId="164" fontId="86" fillId="0" borderId="10" xfId="2" applyNumberFormat="1" applyFont="1" applyFill="1" applyBorder="1" applyAlignment="1">
      <alignment horizontal="center"/>
    </xf>
    <xf numFmtId="0" fontId="111" fillId="0" borderId="61" xfId="0" applyFont="1" applyBorder="1" applyAlignment="1">
      <alignment horizontal="left" vertical="top" indent="2"/>
    </xf>
    <xf numFmtId="0" fontId="131" fillId="24" borderId="169" xfId="0" applyFont="1" applyFill="1" applyBorder="1" applyAlignment="1">
      <alignment horizontal="left" vertical="top" wrapText="1"/>
    </xf>
    <xf numFmtId="4" fontId="120" fillId="24" borderId="169" xfId="0" applyNumberFormat="1" applyFont="1" applyFill="1" applyBorder="1" applyAlignment="1">
      <alignment horizontal="right" vertical="top" shrinkToFit="1"/>
    </xf>
    <xf numFmtId="2" fontId="120" fillId="24" borderId="169" xfId="0" applyNumberFormat="1" applyFont="1" applyFill="1" applyBorder="1" applyAlignment="1">
      <alignment horizontal="right" vertical="top" shrinkToFit="1"/>
    </xf>
    <xf numFmtId="0" fontId="131" fillId="24" borderId="169" xfId="0" applyFont="1" applyFill="1" applyBorder="1" applyAlignment="1">
      <alignment horizontal="center" vertical="top" wrapText="1"/>
    </xf>
    <xf numFmtId="169" fontId="120" fillId="24" borderId="169" xfId="0" applyNumberFormat="1" applyFont="1" applyFill="1" applyBorder="1" applyAlignment="1">
      <alignment horizontal="left" vertical="top" shrinkToFit="1"/>
    </xf>
    <xf numFmtId="0" fontId="0" fillId="24" borderId="169" xfId="0" applyFill="1" applyBorder="1" applyAlignment="1">
      <alignment horizontal="left" wrapText="1"/>
    </xf>
    <xf numFmtId="0" fontId="59" fillId="21" borderId="0" xfId="0" applyFont="1" applyFill="1" applyAlignment="1">
      <alignment horizontal="center"/>
    </xf>
    <xf numFmtId="3" fontId="59" fillId="21" borderId="0" xfId="0" applyNumberFormat="1" applyFont="1" applyFill="1" applyAlignment="1">
      <alignment horizontal="right"/>
    </xf>
    <xf numFmtId="17" fontId="59" fillId="21" borderId="0" xfId="0" applyNumberFormat="1" applyFont="1" applyFill="1" applyAlignment="1">
      <alignment horizontal="center"/>
    </xf>
    <xf numFmtId="14" fontId="59" fillId="21" borderId="0" xfId="0" applyNumberFormat="1" applyFont="1" applyFill="1" applyAlignment="1">
      <alignment horizontal="center"/>
    </xf>
    <xf numFmtId="44" fontId="59" fillId="21" borderId="0" xfId="1" applyFont="1" applyFill="1" applyBorder="1" applyAlignment="1">
      <alignment horizontal="center"/>
    </xf>
    <xf numFmtId="9" fontId="76" fillId="20" borderId="104" xfId="2" applyFont="1" applyFill="1" applyBorder="1" applyAlignment="1">
      <alignment horizontal="center" vertical="center"/>
    </xf>
    <xf numFmtId="9" fontId="76" fillId="20" borderId="95" xfId="2" applyFont="1" applyFill="1" applyBorder="1" applyAlignment="1">
      <alignment horizontal="center" vertical="center"/>
    </xf>
    <xf numFmtId="9" fontId="76" fillId="20" borderId="106" xfId="2" applyFont="1" applyFill="1" applyBorder="1" applyAlignment="1">
      <alignment horizontal="center" vertical="center"/>
    </xf>
    <xf numFmtId="9" fontId="76" fillId="20" borderId="11" xfId="2" applyFont="1" applyFill="1" applyBorder="1" applyAlignment="1">
      <alignment horizontal="center" vertical="center"/>
    </xf>
    <xf numFmtId="44" fontId="138" fillId="0" borderId="0" xfId="1" applyFont="1" applyBorder="1" applyAlignment="1">
      <alignment horizontal="left"/>
    </xf>
    <xf numFmtId="0" fontId="139" fillId="0" borderId="5" xfId="0" applyFont="1" applyBorder="1"/>
    <xf numFmtId="0" fontId="138" fillId="0" borderId="0" xfId="0" applyFont="1" applyAlignment="1">
      <alignment horizontal="left" vertical="center" indent="1"/>
    </xf>
    <xf numFmtId="0" fontId="138" fillId="0" borderId="0" xfId="0" applyFont="1" applyAlignment="1">
      <alignment vertical="top" wrapText="1"/>
    </xf>
    <xf numFmtId="167" fontId="85" fillId="0" borderId="51" xfId="3" applyNumberFormat="1" applyFont="1" applyBorder="1" applyAlignment="1">
      <alignment horizontal="right"/>
    </xf>
    <xf numFmtId="43" fontId="85" fillId="0" borderId="50" xfId="0" applyNumberFormat="1" applyFont="1" applyBorder="1" applyAlignment="1">
      <alignment horizontal="right"/>
    </xf>
    <xf numFmtId="167" fontId="85" fillId="0" borderId="50" xfId="3" applyNumberFormat="1" applyFont="1" applyBorder="1" applyAlignment="1">
      <alignment horizontal="right"/>
    </xf>
    <xf numFmtId="167" fontId="85" fillId="0" borderId="96" xfId="3" applyNumberFormat="1" applyFont="1" applyBorder="1" applyAlignment="1">
      <alignment horizontal="right"/>
    </xf>
    <xf numFmtId="43" fontId="85" fillId="0" borderId="56" xfId="0" applyNumberFormat="1" applyFont="1" applyBorder="1" applyAlignment="1">
      <alignment horizontal="right"/>
    </xf>
    <xf numFmtId="1" fontId="120" fillId="24" borderId="169" xfId="0" applyNumberFormat="1" applyFont="1" applyFill="1" applyBorder="1" applyAlignment="1">
      <alignment horizontal="right" vertical="top" shrinkToFit="1"/>
    </xf>
    <xf numFmtId="9" fontId="69" fillId="0" borderId="0" xfId="2" applyFont="1"/>
    <xf numFmtId="17" fontId="35" fillId="8" borderId="0" xfId="0" applyNumberFormat="1" applyFont="1" applyFill="1"/>
    <xf numFmtId="0" fontId="2" fillId="23" borderId="9" xfId="0" applyFont="1" applyFill="1" applyBorder="1"/>
    <xf numFmtId="0" fontId="117" fillId="15" borderId="6" xfId="0" applyFont="1" applyFill="1" applyBorder="1"/>
    <xf numFmtId="0" fontId="0" fillId="24" borderId="0" xfId="0" applyFill="1"/>
    <xf numFmtId="0" fontId="141" fillId="0" borderId="54" xfId="0" applyFont="1" applyBorder="1"/>
    <xf numFmtId="0" fontId="135" fillId="23" borderId="54" xfId="0" applyFont="1" applyFill="1" applyBorder="1" applyAlignment="1">
      <alignment horizontal="left"/>
    </xf>
    <xf numFmtId="0" fontId="2" fillId="15" borderId="64" xfId="0" applyFont="1" applyFill="1" applyBorder="1"/>
    <xf numFmtId="0" fontId="48" fillId="0" borderId="15" xfId="0" applyFont="1" applyBorder="1"/>
    <xf numFmtId="0" fontId="2" fillId="3" borderId="17" xfId="0" applyFont="1" applyFill="1" applyBorder="1" applyAlignment="1">
      <alignment horizontal="center"/>
    </xf>
    <xf numFmtId="0" fontId="2" fillId="3" borderId="17" xfId="0" applyFont="1" applyFill="1" applyBorder="1"/>
    <xf numFmtId="167" fontId="59" fillId="24" borderId="0" xfId="3" applyNumberFormat="1" applyFont="1" applyFill="1" applyBorder="1" applyAlignment="1">
      <alignment horizontal="right"/>
    </xf>
    <xf numFmtId="17" fontId="59" fillId="24" borderId="0" xfId="0" applyNumberFormat="1" applyFont="1" applyFill="1" applyAlignment="1">
      <alignment horizontal="center"/>
    </xf>
    <xf numFmtId="44" fontId="59" fillId="24" borderId="0" xfId="1" applyFont="1" applyFill="1" applyBorder="1" applyAlignment="1">
      <alignment horizontal="center"/>
    </xf>
    <xf numFmtId="0" fontId="59" fillId="24" borderId="0" xfId="0" applyFont="1" applyFill="1"/>
    <xf numFmtId="164" fontId="80" fillId="0" borderId="118" xfId="2" applyNumberFormat="1" applyFont="1" applyBorder="1" applyAlignment="1">
      <alignment horizontal="center"/>
    </xf>
    <xf numFmtId="17" fontId="127" fillId="4" borderId="30" xfId="0" applyNumberFormat="1" applyFont="1" applyFill="1" applyBorder="1" applyAlignment="1">
      <alignment horizontal="center"/>
    </xf>
    <xf numFmtId="17" fontId="93" fillId="0" borderId="25" xfId="0" applyNumberFormat="1" applyFont="1" applyBorder="1" applyAlignment="1">
      <alignment horizontal="center"/>
    </xf>
    <xf numFmtId="165" fontId="108" fillId="0" borderId="25" xfId="1" applyNumberFormat="1" applyFont="1" applyBorder="1" applyAlignment="1">
      <alignment horizontal="right"/>
    </xf>
    <xf numFmtId="165" fontId="108" fillId="0" borderId="25" xfId="1" applyNumberFormat="1" applyFont="1" applyBorder="1"/>
    <xf numFmtId="165" fontId="109" fillId="0" borderId="25" xfId="1" applyNumberFormat="1" applyFont="1" applyBorder="1"/>
    <xf numFmtId="165" fontId="109" fillId="0" borderId="25" xfId="2" applyNumberFormat="1" applyFont="1" applyBorder="1" applyAlignment="1">
      <alignment horizontal="right"/>
    </xf>
    <xf numFmtId="165" fontId="108" fillId="0" borderId="25" xfId="2" applyNumberFormat="1" applyFont="1" applyBorder="1" applyAlignment="1">
      <alignment horizontal="right"/>
    </xf>
    <xf numFmtId="17" fontId="107" fillId="4" borderId="25" xfId="0" applyNumberFormat="1" applyFont="1" applyFill="1" applyBorder="1" applyAlignment="1">
      <alignment horizontal="center"/>
    </xf>
    <xf numFmtId="17" fontId="110" fillId="4" borderId="27" xfId="0" applyNumberFormat="1" applyFont="1" applyFill="1" applyBorder="1" applyAlignment="1">
      <alignment horizontal="center"/>
    </xf>
    <xf numFmtId="165" fontId="109" fillId="0" borderId="0" xfId="1" applyNumberFormat="1" applyFont="1" applyBorder="1"/>
    <xf numFmtId="165" fontId="106" fillId="0" borderId="181" xfId="1" applyNumberFormat="1" applyFont="1" applyBorder="1" applyAlignment="1">
      <alignment horizontal="center"/>
    </xf>
    <xf numFmtId="165" fontId="106" fillId="0" borderId="25" xfId="1" applyNumberFormat="1" applyFont="1" applyBorder="1" applyAlignment="1">
      <alignment horizontal="center"/>
    </xf>
    <xf numFmtId="165" fontId="106" fillId="0" borderId="25" xfId="1" applyNumberFormat="1" applyFont="1" applyBorder="1" applyAlignment="1">
      <alignment horizontal="right"/>
    </xf>
    <xf numFmtId="165" fontId="109" fillId="4" borderId="182" xfId="2" applyNumberFormat="1" applyFont="1" applyFill="1" applyBorder="1" applyAlignment="1">
      <alignment horizontal="right"/>
    </xf>
    <xf numFmtId="165" fontId="106" fillId="0" borderId="183" xfId="1" applyNumberFormat="1" applyFont="1" applyBorder="1" applyAlignment="1">
      <alignment horizontal="center"/>
    </xf>
    <xf numFmtId="165" fontId="106" fillId="0" borderId="0" xfId="1" applyNumberFormat="1" applyFont="1" applyBorder="1" applyAlignment="1">
      <alignment horizontal="center"/>
    </xf>
    <xf numFmtId="165" fontId="99" fillId="0" borderId="0" xfId="1" applyNumberFormat="1" applyFont="1" applyBorder="1"/>
    <xf numFmtId="165" fontId="100" fillId="0" borderId="0" xfId="1" applyNumberFormat="1" applyFont="1" applyBorder="1"/>
    <xf numFmtId="165" fontId="140" fillId="0" borderId="0" xfId="0" applyNumberFormat="1" applyFont="1"/>
    <xf numFmtId="165" fontId="107" fillId="0" borderId="2" xfId="0" applyNumberFormat="1" applyFont="1" applyBorder="1"/>
    <xf numFmtId="1" fontId="69" fillId="0" borderId="0" xfId="2" applyNumberFormat="1" applyFont="1" applyBorder="1" applyAlignment="1">
      <alignment horizontal="center"/>
    </xf>
    <xf numFmtId="1" fontId="69" fillId="0" borderId="140" xfId="2" applyNumberFormat="1" applyFont="1" applyBorder="1" applyAlignment="1">
      <alignment horizontal="center"/>
    </xf>
    <xf numFmtId="1" fontId="69" fillId="0" borderId="184" xfId="2" applyNumberFormat="1" applyFont="1" applyBorder="1" applyAlignment="1">
      <alignment horizontal="center"/>
    </xf>
    <xf numFmtId="1" fontId="69" fillId="0" borderId="7" xfId="2" applyNumberFormat="1" applyFont="1" applyBorder="1" applyAlignment="1">
      <alignment horizontal="center"/>
    </xf>
    <xf numFmtId="1" fontId="69" fillId="0" borderId="9" xfId="2" applyNumberFormat="1" applyFont="1" applyBorder="1" applyAlignment="1">
      <alignment horizontal="center"/>
    </xf>
    <xf numFmtId="1" fontId="69" fillId="0" borderId="11" xfId="2" applyNumberFormat="1" applyFont="1" applyBorder="1" applyAlignment="1">
      <alignment horizontal="center"/>
    </xf>
    <xf numFmtId="0" fontId="138" fillId="0" borderId="0" xfId="0" applyFont="1" applyAlignment="1">
      <alignment vertical="center" wrapText="1"/>
    </xf>
    <xf numFmtId="0" fontId="138" fillId="0" borderId="5" xfId="0" applyFont="1" applyBorder="1" applyAlignment="1">
      <alignment vertical="center"/>
    </xf>
    <xf numFmtId="0" fontId="138" fillId="0" borderId="0" xfId="0" applyFont="1" applyAlignment="1">
      <alignment vertical="center"/>
    </xf>
    <xf numFmtId="0" fontId="85" fillId="0" borderId="0" xfId="0" applyFont="1" applyAlignment="1">
      <alignment vertical="top" wrapText="1"/>
    </xf>
    <xf numFmtId="0" fontId="85" fillId="0" borderId="7" xfId="0" applyFont="1" applyBorder="1" applyAlignment="1">
      <alignment vertical="top" wrapText="1"/>
    </xf>
    <xf numFmtId="0" fontId="142" fillId="15" borderId="7" xfId="0" applyFont="1" applyFill="1" applyBorder="1"/>
    <xf numFmtId="0" fontId="0" fillId="23" borderId="0" xfId="0" applyFill="1"/>
    <xf numFmtId="0" fontId="59" fillId="0" borderId="17" xfId="0" applyFont="1" applyBorder="1" applyAlignment="1">
      <alignment horizontal="center"/>
    </xf>
    <xf numFmtId="9" fontId="90" fillId="0" borderId="0" xfId="2" applyFont="1"/>
    <xf numFmtId="0" fontId="124" fillId="4" borderId="1" xfId="0" applyFont="1" applyFill="1" applyBorder="1" applyAlignment="1">
      <alignment horizontal="right"/>
    </xf>
    <xf numFmtId="165" fontId="109" fillId="0" borderId="2" xfId="2" applyNumberFormat="1" applyFont="1" applyBorder="1" applyAlignment="1">
      <alignment horizontal="right" indent="1"/>
    </xf>
    <xf numFmtId="0" fontId="111" fillId="0" borderId="61" xfId="0" applyFont="1" applyBorder="1" applyAlignment="1">
      <alignment horizontal="left" vertical="top" wrapText="1"/>
    </xf>
    <xf numFmtId="0" fontId="133" fillId="0" borderId="61" xfId="0" applyFont="1" applyBorder="1" applyAlignment="1">
      <alignment horizontal="left" vertical="top" wrapText="1"/>
    </xf>
    <xf numFmtId="0" fontId="133" fillId="0" borderId="0" xfId="0" applyFont="1" applyAlignment="1">
      <alignment horizontal="left" vertical="top" wrapText="1"/>
    </xf>
    <xf numFmtId="0" fontId="133" fillId="0" borderId="60" xfId="0" applyFont="1" applyBorder="1" applyAlignment="1">
      <alignment horizontal="left" vertical="top" wrapText="1"/>
    </xf>
    <xf numFmtId="0" fontId="92" fillId="0" borderId="9" xfId="0" applyFont="1" applyBorder="1" applyAlignment="1">
      <alignment horizontal="center"/>
    </xf>
    <xf numFmtId="0" fontId="102" fillId="0" borderId="168" xfId="0" applyFont="1" applyBorder="1" applyAlignment="1">
      <alignment horizontal="center"/>
    </xf>
    <xf numFmtId="0" fontId="107" fillId="0" borderId="29" xfId="0" applyFont="1" applyBorder="1" applyAlignment="1">
      <alignment horizontal="center"/>
    </xf>
    <xf numFmtId="0" fontId="111" fillId="0" borderId="0" xfId="0" applyFont="1" applyAlignment="1">
      <alignment horizontal="left" wrapText="1"/>
    </xf>
    <xf numFmtId="0" fontId="111" fillId="0" borderId="60" xfId="0" applyFont="1" applyBorder="1" applyAlignment="1">
      <alignment horizontal="left" wrapText="1"/>
    </xf>
    <xf numFmtId="0" fontId="111" fillId="0" borderId="0" xfId="0" applyFont="1" applyAlignment="1">
      <alignment horizontal="left" vertical="top" wrapText="1"/>
    </xf>
    <xf numFmtId="0" fontId="111" fillId="0" borderId="60" xfId="0" applyFont="1" applyBorder="1" applyAlignment="1">
      <alignment horizontal="left" vertical="top" wrapText="1"/>
    </xf>
    <xf numFmtId="0" fontId="111" fillId="0" borderId="61" xfId="0" applyFont="1" applyBorder="1" applyAlignment="1">
      <alignment horizontal="left" wrapText="1"/>
    </xf>
    <xf numFmtId="0" fontId="116" fillId="30" borderId="0" xfId="0" applyFont="1" applyFill="1" applyAlignment="1">
      <alignment horizontal="center" vertical="center"/>
    </xf>
    <xf numFmtId="49" fontId="98" fillId="9" borderId="57" xfId="0" applyNumberFormat="1" applyFont="1" applyFill="1" applyBorder="1" applyAlignment="1">
      <alignment horizontal="center" wrapText="1"/>
    </xf>
    <xf numFmtId="49" fontId="98" fillId="9" borderId="58" xfId="0" applyNumberFormat="1" applyFont="1" applyFill="1" applyBorder="1" applyAlignment="1">
      <alignment horizontal="center" wrapText="1"/>
    </xf>
    <xf numFmtId="49" fontId="98" fillId="9" borderId="59" xfId="0" applyNumberFormat="1" applyFont="1" applyFill="1" applyBorder="1" applyAlignment="1">
      <alignment horizontal="center" wrapText="1"/>
    </xf>
    <xf numFmtId="49" fontId="98" fillId="5" borderId="57" xfId="0" applyNumberFormat="1" applyFont="1" applyFill="1" applyBorder="1" applyAlignment="1">
      <alignment horizontal="center" wrapText="1"/>
    </xf>
    <xf numFmtId="49" fontId="98" fillId="5" borderId="58" xfId="0" applyNumberFormat="1" applyFont="1" applyFill="1" applyBorder="1" applyAlignment="1">
      <alignment horizontal="center" wrapText="1"/>
    </xf>
    <xf numFmtId="49" fontId="98" fillId="5" borderId="59" xfId="0" applyNumberFormat="1" applyFont="1" applyFill="1" applyBorder="1" applyAlignment="1">
      <alignment horizontal="center" wrapText="1"/>
    </xf>
    <xf numFmtId="0" fontId="59" fillId="4" borderId="9" xfId="0" applyFont="1" applyFill="1" applyBorder="1" applyAlignment="1">
      <alignment horizontal="center"/>
    </xf>
    <xf numFmtId="49" fontId="98" fillId="8" borderId="57" xfId="0" applyNumberFormat="1" applyFont="1" applyFill="1" applyBorder="1" applyAlignment="1">
      <alignment horizontal="center" wrapText="1"/>
    </xf>
    <xf numFmtId="49" fontId="98" fillId="8" borderId="58" xfId="0" applyNumberFormat="1" applyFont="1" applyFill="1" applyBorder="1" applyAlignment="1">
      <alignment horizontal="center" wrapText="1"/>
    </xf>
    <xf numFmtId="49" fontId="98" fillId="8" borderId="59" xfId="0" applyNumberFormat="1" applyFont="1" applyFill="1" applyBorder="1" applyAlignment="1">
      <alignment horizontal="center" wrapText="1"/>
    </xf>
    <xf numFmtId="0" fontId="92" fillId="4" borderId="46" xfId="0" applyFont="1" applyFill="1" applyBorder="1" applyAlignment="1">
      <alignment horizontal="center"/>
    </xf>
    <xf numFmtId="0" fontId="92" fillId="17" borderId="29" xfId="0" applyFont="1" applyFill="1" applyBorder="1" applyAlignment="1">
      <alignment horizontal="center"/>
    </xf>
    <xf numFmtId="0" fontId="109" fillId="0" borderId="29" xfId="0" applyFont="1" applyBorder="1" applyAlignment="1">
      <alignment horizontal="center"/>
    </xf>
    <xf numFmtId="0" fontId="85" fillId="0" borderId="0" xfId="0" applyFont="1" applyAlignment="1">
      <alignment horizontal="left" vertical="top" wrapText="1"/>
    </xf>
    <xf numFmtId="0" fontId="138" fillId="0" borderId="5" xfId="0" applyFont="1" applyBorder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8" fillId="0" borderId="7" xfId="0" applyFont="1" applyBorder="1" applyAlignment="1">
      <alignment horizontal="left" vertical="center" wrapText="1"/>
    </xf>
    <xf numFmtId="0" fontId="123" fillId="3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38" fontId="74" fillId="15" borderId="0" xfId="0" applyNumberFormat="1" applyFont="1" applyFill="1" applyAlignment="1">
      <alignment horizontal="center"/>
    </xf>
    <xf numFmtId="0" fontId="74" fillId="15" borderId="0" xfId="0" applyFont="1" applyFill="1" applyAlignment="1">
      <alignment horizontal="center"/>
    </xf>
    <xf numFmtId="0" fontId="75" fillId="15" borderId="0" xfId="0" applyFont="1" applyFill="1" applyAlignment="1">
      <alignment horizontal="center" wrapText="1"/>
    </xf>
    <xf numFmtId="0" fontId="75" fillId="15" borderId="0" xfId="0" applyFont="1" applyFill="1" applyAlignment="1">
      <alignment horizontal="center"/>
    </xf>
    <xf numFmtId="164" fontId="75" fillId="0" borderId="0" xfId="2" applyNumberFormat="1" applyFont="1" applyFill="1" applyAlignment="1">
      <alignment horizontal="center"/>
    </xf>
    <xf numFmtId="0" fontId="76" fillId="30" borderId="21" xfId="0" applyFont="1" applyFill="1" applyBorder="1" applyAlignment="1">
      <alignment horizontal="center"/>
    </xf>
    <xf numFmtId="0" fontId="76" fillId="30" borderId="22" xfId="0" applyFont="1" applyFill="1" applyBorder="1" applyAlignment="1">
      <alignment horizontal="center"/>
    </xf>
    <xf numFmtId="0" fontId="76" fillId="30" borderId="23" xfId="0" applyFont="1" applyFill="1" applyBorder="1" applyAlignment="1">
      <alignment horizontal="center"/>
    </xf>
    <xf numFmtId="0" fontId="76" fillId="20" borderId="163" xfId="0" applyFont="1" applyFill="1" applyBorder="1" applyAlignment="1">
      <alignment horizontal="center"/>
    </xf>
    <xf numFmtId="0" fontId="76" fillId="20" borderId="164" xfId="0" applyFont="1" applyFill="1" applyBorder="1" applyAlignment="1">
      <alignment horizontal="center"/>
    </xf>
    <xf numFmtId="0" fontId="76" fillId="20" borderId="165" xfId="0" applyFont="1" applyFill="1" applyBorder="1" applyAlignment="1">
      <alignment horizontal="center"/>
    </xf>
    <xf numFmtId="0" fontId="76" fillId="30" borderId="5" xfId="0" applyFont="1" applyFill="1" applyBorder="1" applyAlignment="1">
      <alignment horizontal="left" indent="1"/>
    </xf>
    <xf numFmtId="0" fontId="5" fillId="0" borderId="7" xfId="0" applyFont="1" applyBorder="1" applyAlignment="1">
      <alignment horizontal="left" indent="1"/>
    </xf>
    <xf numFmtId="0" fontId="70" fillId="4" borderId="147" xfId="0" applyFont="1" applyFill="1" applyBorder="1" applyAlignment="1">
      <alignment horizontal="left" vertical="top" wrapText="1"/>
    </xf>
    <xf numFmtId="0" fontId="70" fillId="4" borderId="126" xfId="0" applyFont="1" applyFill="1" applyBorder="1" applyAlignment="1">
      <alignment horizontal="left" vertical="top" wrapText="1"/>
    </xf>
    <xf numFmtId="0" fontId="70" fillId="4" borderId="148" xfId="0" applyFont="1" applyFill="1" applyBorder="1" applyAlignment="1">
      <alignment horizontal="left" vertical="top" wrapText="1"/>
    </xf>
    <xf numFmtId="0" fontId="70" fillId="4" borderId="134" xfId="0" applyFont="1" applyFill="1" applyBorder="1" applyAlignment="1">
      <alignment horizontal="left" vertical="top" wrapText="1"/>
    </xf>
    <xf numFmtId="0" fontId="70" fillId="4" borderId="0" xfId="0" applyFont="1" applyFill="1" applyAlignment="1">
      <alignment horizontal="left" vertical="top" wrapText="1"/>
    </xf>
    <xf numFmtId="0" fontId="70" fillId="4" borderId="135" xfId="0" applyFont="1" applyFill="1" applyBorder="1" applyAlignment="1">
      <alignment horizontal="left" vertical="top" wrapText="1"/>
    </xf>
    <xf numFmtId="0" fontId="70" fillId="4" borderId="136" xfId="0" applyFont="1" applyFill="1" applyBorder="1" applyAlignment="1">
      <alignment horizontal="left" vertical="top" wrapText="1"/>
    </xf>
    <xf numFmtId="0" fontId="70" fillId="4" borderId="118" xfId="0" applyFont="1" applyFill="1" applyBorder="1" applyAlignment="1">
      <alignment horizontal="left" vertical="top" wrapText="1"/>
    </xf>
    <xf numFmtId="0" fontId="70" fillId="4" borderId="137" xfId="0" applyFont="1" applyFill="1" applyBorder="1" applyAlignment="1">
      <alignment horizontal="left" vertical="top" wrapText="1"/>
    </xf>
    <xf numFmtId="0" fontId="69" fillId="0" borderId="0" xfId="0" applyFont="1" applyAlignment="1">
      <alignment horizontal="left" vertical="top"/>
    </xf>
    <xf numFmtId="0" fontId="70" fillId="18" borderId="1" xfId="0" applyFont="1" applyFill="1" applyBorder="1" applyAlignment="1">
      <alignment horizontal="center"/>
    </xf>
    <xf numFmtId="0" fontId="70" fillId="18" borderId="2" xfId="0" applyFont="1" applyFill="1" applyBorder="1" applyAlignment="1">
      <alignment horizontal="center"/>
    </xf>
    <xf numFmtId="0" fontId="70" fillId="18" borderId="4" xfId="0" applyFont="1" applyFill="1" applyBorder="1" applyAlignment="1">
      <alignment horizontal="center"/>
    </xf>
    <xf numFmtId="0" fontId="6" fillId="31" borderId="155" xfId="0" applyFont="1" applyFill="1" applyBorder="1" applyAlignment="1">
      <alignment horizontal="center"/>
    </xf>
    <xf numFmtId="0" fontId="6" fillId="31" borderId="156" xfId="0" applyFont="1" applyFill="1" applyBorder="1" applyAlignment="1">
      <alignment horizontal="center"/>
    </xf>
    <xf numFmtId="0" fontId="6" fillId="31" borderId="157" xfId="0" applyFont="1" applyFill="1" applyBorder="1" applyAlignment="1">
      <alignment horizontal="center"/>
    </xf>
    <xf numFmtId="0" fontId="69" fillId="0" borderId="0" xfId="0" applyFont="1" applyAlignment="1">
      <alignment horizontal="center"/>
    </xf>
    <xf numFmtId="17" fontId="77" fillId="0" borderId="17" xfId="0" applyNumberFormat="1" applyFont="1" applyBorder="1" applyAlignment="1">
      <alignment horizontal="right"/>
    </xf>
    <xf numFmtId="0" fontId="70" fillId="4" borderId="174" xfId="0" applyFont="1" applyFill="1" applyBorder="1" applyAlignment="1">
      <alignment horizontal="center" wrapText="1"/>
    </xf>
    <xf numFmtId="0" fontId="70" fillId="4" borderId="175" xfId="0" applyFont="1" applyFill="1" applyBorder="1" applyAlignment="1">
      <alignment horizontal="center" wrapText="1"/>
    </xf>
    <xf numFmtId="0" fontId="70" fillId="4" borderId="176" xfId="0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9" fillId="0" borderId="5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77" fillId="0" borderId="17" xfId="0" applyNumberFormat="1" applyFont="1" applyBorder="1" applyAlignment="1">
      <alignment horizontal="right"/>
    </xf>
    <xf numFmtId="0" fontId="29" fillId="0" borderId="12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70" fillId="15" borderId="8" xfId="0" applyFont="1" applyFill="1" applyBorder="1" applyAlignment="1">
      <alignment horizontal="center"/>
    </xf>
    <xf numFmtId="0" fontId="70" fillId="15" borderId="9" xfId="0" applyFont="1" applyFill="1" applyBorder="1" applyAlignment="1">
      <alignment horizontal="center"/>
    </xf>
    <xf numFmtId="0" fontId="70" fillId="15" borderId="4" xfId="0" applyFont="1" applyFill="1" applyBorder="1" applyAlignment="1">
      <alignment horizontal="center"/>
    </xf>
    <xf numFmtId="0" fontId="76" fillId="20" borderId="0" xfId="0" applyFont="1" applyFill="1" applyAlignment="1">
      <alignment horizontal="center"/>
    </xf>
    <xf numFmtId="0" fontId="76" fillId="20" borderId="1" xfId="0" applyFont="1" applyFill="1" applyBorder="1" applyAlignment="1">
      <alignment horizontal="center"/>
    </xf>
    <xf numFmtId="0" fontId="76" fillId="20" borderId="2" xfId="0" applyFont="1" applyFill="1" applyBorder="1" applyAlignment="1">
      <alignment horizontal="center"/>
    </xf>
    <xf numFmtId="0" fontId="76" fillId="20" borderId="4" xfId="0" applyFont="1" applyFill="1" applyBorder="1" applyAlignment="1">
      <alignment horizontal="center"/>
    </xf>
    <xf numFmtId="0" fontId="69" fillId="0" borderId="12" xfId="0" applyFont="1" applyBorder="1" applyAlignment="1">
      <alignment horizontal="left" vertical="center" wrapText="1"/>
    </xf>
    <xf numFmtId="0" fontId="69" fillId="0" borderId="13" xfId="0" applyFont="1" applyBorder="1" applyAlignment="1">
      <alignment horizontal="left" vertical="center" wrapText="1"/>
    </xf>
    <xf numFmtId="0" fontId="69" fillId="0" borderId="15" xfId="0" applyFont="1" applyBorder="1" applyAlignment="1">
      <alignment horizontal="left" vertical="center" wrapText="1"/>
    </xf>
    <xf numFmtId="0" fontId="69" fillId="0" borderId="5" xfId="0" applyFont="1" applyBorder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69" fillId="0" borderId="7" xfId="0" applyFont="1" applyBorder="1" applyAlignment="1">
      <alignment horizontal="left" vertical="center" wrapText="1"/>
    </xf>
    <xf numFmtId="0" fontId="69" fillId="0" borderId="8" xfId="0" applyFont="1" applyBorder="1" applyAlignment="1">
      <alignment horizontal="left" vertical="center" wrapText="1"/>
    </xf>
    <xf numFmtId="0" fontId="69" fillId="0" borderId="9" xfId="0" applyFont="1" applyBorder="1" applyAlignment="1">
      <alignment horizontal="left" vertical="center" wrapText="1"/>
    </xf>
    <xf numFmtId="0" fontId="69" fillId="0" borderId="11" xfId="0" applyFont="1" applyBorder="1" applyAlignment="1">
      <alignment horizontal="left" vertical="center" wrapText="1"/>
    </xf>
    <xf numFmtId="0" fontId="70" fillId="4" borderId="136" xfId="0" applyFont="1" applyFill="1" applyBorder="1" applyAlignment="1">
      <alignment horizontal="center"/>
    </xf>
    <xf numFmtId="0" fontId="70" fillId="4" borderId="118" xfId="0" applyFont="1" applyFill="1" applyBorder="1" applyAlignment="1">
      <alignment horizontal="center"/>
    </xf>
    <xf numFmtId="0" fontId="70" fillId="4" borderId="137" xfId="0" applyFont="1" applyFill="1" applyBorder="1" applyAlignment="1">
      <alignment horizontal="center"/>
    </xf>
    <xf numFmtId="0" fontId="76" fillId="20" borderId="107" xfId="0" applyFont="1" applyFill="1" applyBorder="1" applyAlignment="1">
      <alignment horizontal="center"/>
    </xf>
    <xf numFmtId="0" fontId="76" fillId="20" borderId="108" xfId="0" applyFont="1" applyFill="1" applyBorder="1" applyAlignment="1">
      <alignment horizontal="center"/>
    </xf>
    <xf numFmtId="0" fontId="76" fillId="20" borderId="101" xfId="0" applyFont="1" applyFill="1" applyBorder="1" applyAlignment="1">
      <alignment horizontal="center"/>
    </xf>
    <xf numFmtId="0" fontId="76" fillId="20" borderId="62" xfId="0" applyFont="1" applyFill="1" applyBorder="1" applyAlignment="1">
      <alignment horizontal="center"/>
    </xf>
    <xf numFmtId="0" fontId="49" fillId="2" borderId="17" xfId="0" applyFont="1" applyFill="1" applyBorder="1" applyAlignment="1">
      <alignment horizontal="center"/>
    </xf>
    <xf numFmtId="0" fontId="50" fillId="0" borderId="17" xfId="0" applyFont="1" applyBorder="1" applyAlignment="1">
      <alignment horizontal="center" vertical="center"/>
    </xf>
    <xf numFmtId="17" fontId="35" fillId="5" borderId="9" xfId="0" quotePrefix="1" applyNumberFormat="1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6" fillId="5" borderId="31" xfId="0" applyNumberFormat="1" applyFont="1" applyFill="1" applyBorder="1" applyAlignment="1">
      <alignment horizontal="center" wrapText="1"/>
    </xf>
    <xf numFmtId="49" fontId="6" fillId="5" borderId="0" xfId="0" applyNumberFormat="1" applyFont="1" applyFill="1" applyAlignment="1">
      <alignment horizontal="center" wrapText="1"/>
    </xf>
    <xf numFmtId="49" fontId="6" fillId="5" borderId="32" xfId="0" applyNumberFormat="1" applyFont="1" applyFill="1" applyBorder="1" applyAlignment="1">
      <alignment horizontal="center" wrapText="1"/>
    </xf>
    <xf numFmtId="49" fontId="6" fillId="6" borderId="0" xfId="0" applyNumberFormat="1" applyFont="1" applyFill="1" applyAlignment="1">
      <alignment horizontal="center"/>
    </xf>
    <xf numFmtId="49" fontId="6" fillId="6" borderId="32" xfId="0" applyNumberFormat="1" applyFont="1" applyFill="1" applyBorder="1" applyAlignment="1">
      <alignment horizontal="center"/>
    </xf>
    <xf numFmtId="49" fontId="6" fillId="7" borderId="31" xfId="0" applyNumberFormat="1" applyFont="1" applyFill="1" applyBorder="1" applyAlignment="1">
      <alignment horizontal="center"/>
    </xf>
    <xf numFmtId="49" fontId="6" fillId="7" borderId="0" xfId="0" applyNumberFormat="1" applyFont="1" applyFill="1" applyAlignment="1">
      <alignment horizontal="center"/>
    </xf>
    <xf numFmtId="49" fontId="6" fillId="8" borderId="31" xfId="0" applyNumberFormat="1" applyFont="1" applyFill="1" applyBorder="1" applyAlignment="1">
      <alignment horizontal="center" wrapText="1"/>
    </xf>
    <xf numFmtId="49" fontId="6" fillId="8" borderId="0" xfId="0" applyNumberFormat="1" applyFont="1" applyFill="1" applyAlignment="1">
      <alignment horizontal="center" wrapText="1"/>
    </xf>
    <xf numFmtId="49" fontId="6" fillId="8" borderId="32" xfId="0" applyNumberFormat="1" applyFont="1" applyFill="1" applyBorder="1" applyAlignment="1">
      <alignment horizontal="center" wrapText="1"/>
    </xf>
    <xf numFmtId="49" fontId="6" fillId="11" borderId="31" xfId="0" applyNumberFormat="1" applyFont="1" applyFill="1" applyBorder="1" applyAlignment="1">
      <alignment horizontal="center"/>
    </xf>
    <xf numFmtId="49" fontId="6" fillId="11" borderId="0" xfId="0" applyNumberFormat="1" applyFont="1" applyFill="1" applyAlignment="1">
      <alignment horizontal="center"/>
    </xf>
    <xf numFmtId="49" fontId="6" fillId="12" borderId="0" xfId="0" applyNumberFormat="1" applyFont="1" applyFill="1" applyAlignment="1">
      <alignment horizontal="center"/>
    </xf>
    <xf numFmtId="9" fontId="15" fillId="0" borderId="0" xfId="2" applyFont="1" applyAlignment="1">
      <alignment horizontal="right"/>
    </xf>
    <xf numFmtId="9" fontId="15" fillId="0" borderId="0" xfId="2" applyFont="1" applyFill="1" applyAlignment="1">
      <alignment horizontal="right"/>
    </xf>
    <xf numFmtId="49" fontId="6" fillId="9" borderId="31" xfId="0" applyNumberFormat="1" applyFont="1" applyFill="1" applyBorder="1" applyAlignment="1">
      <alignment horizontal="center" wrapText="1"/>
    </xf>
    <xf numFmtId="49" fontId="6" fillId="9" borderId="0" xfId="0" applyNumberFormat="1" applyFont="1" applyFill="1" applyAlignment="1">
      <alignment horizontal="center" wrapText="1"/>
    </xf>
    <xf numFmtId="49" fontId="6" fillId="9" borderId="32" xfId="0" applyNumberFormat="1" applyFont="1" applyFill="1" applyBorder="1" applyAlignment="1">
      <alignment horizontal="center" wrapText="1"/>
    </xf>
    <xf numFmtId="0" fontId="39" fillId="4" borderId="9" xfId="0" applyFont="1" applyFill="1" applyBorder="1" applyAlignment="1">
      <alignment horizontal="center"/>
    </xf>
    <xf numFmtId="0" fontId="39" fillId="4" borderId="138" xfId="0" applyFont="1" applyFill="1" applyBorder="1" applyAlignment="1">
      <alignment horizontal="left"/>
    </xf>
    <xf numFmtId="0" fontId="24" fillId="0" borderId="0" xfId="0" applyFont="1" applyAlignment="1">
      <alignment horizontal="left" vertical="top" wrapText="1"/>
    </xf>
    <xf numFmtId="0" fontId="24" fillId="20" borderId="0" xfId="0" applyFont="1" applyFill="1" applyAlignment="1">
      <alignment horizontal="left" vertical="top" wrapText="1"/>
    </xf>
    <xf numFmtId="0" fontId="24" fillId="0" borderId="131" xfId="0" applyFont="1" applyBorder="1" applyAlignment="1">
      <alignment horizontal="center" vertical="top" wrapText="1"/>
    </xf>
    <xf numFmtId="0" fontId="24" fillId="0" borderId="132" xfId="0" applyFont="1" applyBorder="1" applyAlignment="1">
      <alignment horizontal="center" vertical="top" wrapText="1"/>
    </xf>
    <xf numFmtId="0" fontId="24" fillId="0" borderId="17" xfId="0" applyFont="1" applyBorder="1" applyAlignment="1">
      <alignment horizontal="center"/>
    </xf>
    <xf numFmtId="0" fontId="35" fillId="19" borderId="72" xfId="0" applyFont="1" applyFill="1" applyBorder="1" applyAlignment="1">
      <alignment horizontal="center"/>
    </xf>
    <xf numFmtId="0" fontId="35" fillId="31" borderId="2" xfId="0" applyFont="1" applyFill="1" applyBorder="1" applyAlignment="1">
      <alignment horizontal="center"/>
    </xf>
    <xf numFmtId="0" fontId="35" fillId="31" borderId="73" xfId="0" applyFont="1" applyFill="1" applyBorder="1" applyAlignment="1">
      <alignment horizontal="center"/>
    </xf>
    <xf numFmtId="0" fontId="35" fillId="19" borderId="2" xfId="0" applyFont="1" applyFill="1" applyBorder="1" applyAlignment="1">
      <alignment horizontal="center"/>
    </xf>
    <xf numFmtId="0" fontId="35" fillId="19" borderId="73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4" borderId="64" xfId="0" applyFont="1" applyFill="1" applyBorder="1" applyAlignment="1">
      <alignment horizontal="center"/>
    </xf>
    <xf numFmtId="0" fontId="39" fillId="18" borderId="12" xfId="0" applyFont="1" applyFill="1" applyBorder="1" applyAlignment="1">
      <alignment horizontal="center"/>
    </xf>
    <xf numFmtId="0" fontId="39" fillId="15" borderId="13" xfId="0" applyFont="1" applyFill="1" applyBorder="1" applyAlignment="1">
      <alignment horizontal="center"/>
    </xf>
    <xf numFmtId="0" fontId="39" fillId="18" borderId="13" xfId="0" applyFont="1" applyFill="1" applyBorder="1" applyAlignment="1">
      <alignment horizontal="center"/>
    </xf>
    <xf numFmtId="0" fontId="39" fillId="15" borderId="9" xfId="0" applyFont="1" applyFill="1" applyBorder="1" applyAlignment="1">
      <alignment horizontal="center"/>
    </xf>
    <xf numFmtId="0" fontId="45" fillId="6" borderId="21" xfId="0" applyFont="1" applyFill="1" applyBorder="1" applyAlignment="1">
      <alignment horizontal="center"/>
    </xf>
    <xf numFmtId="0" fontId="45" fillId="6" borderId="22" xfId="0" applyFont="1" applyFill="1" applyBorder="1" applyAlignment="1">
      <alignment horizontal="center"/>
    </xf>
    <xf numFmtId="0" fontId="45" fillId="6" borderId="23" xfId="0" applyFont="1" applyFill="1" applyBorder="1" applyAlignment="1">
      <alignment horizontal="center"/>
    </xf>
    <xf numFmtId="0" fontId="25" fillId="17" borderId="29" xfId="0" applyFont="1" applyFill="1" applyBorder="1" applyAlignment="1">
      <alignment horizontal="center"/>
    </xf>
    <xf numFmtId="0" fontId="25" fillId="17" borderId="141" xfId="0" applyFont="1" applyFill="1" applyBorder="1" applyAlignment="1">
      <alignment horizontal="center"/>
    </xf>
    <xf numFmtId="0" fontId="25" fillId="17" borderId="125" xfId="0" applyFont="1" applyFill="1" applyBorder="1" applyAlignment="1">
      <alignment horizontal="center"/>
    </xf>
    <xf numFmtId="0" fontId="25" fillId="17" borderId="21" xfId="0" applyFont="1" applyFill="1" applyBorder="1" applyAlignment="1">
      <alignment horizontal="center"/>
    </xf>
    <xf numFmtId="0" fontId="25" fillId="17" borderId="22" xfId="0" applyFont="1" applyFill="1" applyBorder="1" applyAlignment="1">
      <alignment horizontal="center"/>
    </xf>
    <xf numFmtId="0" fontId="25" fillId="17" borderId="23" xfId="0" applyFont="1" applyFill="1" applyBorder="1" applyAlignment="1">
      <alignment horizontal="center"/>
    </xf>
    <xf numFmtId="0" fontId="25" fillId="17" borderId="0" xfId="0" applyFont="1" applyFill="1" applyAlignment="1">
      <alignment horizontal="center"/>
    </xf>
    <xf numFmtId="164" fontId="2" fillId="0" borderId="0" xfId="2" applyNumberFormat="1" applyFont="1" applyAlignment="1">
      <alignment horizontal="center"/>
    </xf>
    <xf numFmtId="1" fontId="36" fillId="15" borderId="0" xfId="0" applyNumberFormat="1" applyFont="1" applyFill="1" applyAlignment="1">
      <alignment horizontal="center"/>
    </xf>
    <xf numFmtId="0" fontId="36" fillId="15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9" fillId="18" borderId="52" xfId="0" applyFont="1" applyFill="1" applyBorder="1" applyAlignment="1">
      <alignment horizontal="center"/>
    </xf>
    <xf numFmtId="0" fontId="39" fillId="18" borderId="44" xfId="0" applyFont="1" applyFill="1" applyBorder="1" applyAlignment="1">
      <alignment horizontal="center"/>
    </xf>
    <xf numFmtId="0" fontId="39" fillId="18" borderId="29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9" fillId="0" borderId="0" xfId="0" applyFon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0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9C3BD"/>
        </patternFill>
      </fill>
    </dxf>
    <dxf>
      <font>
        <b/>
        <i val="0"/>
        <color theme="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9C3BD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fgColor rgb="FF00A020"/>
          <bgColor rgb="FFFFCD2F"/>
        </patternFill>
      </fill>
    </dxf>
    <dxf>
      <fill>
        <patternFill>
          <bgColor rgb="FFEF5757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84ADAA2B-457D-48C5-A7FC-947A992A099E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</tableStyles>
  <colors>
    <mruColors>
      <color rgb="FFF9C3BD"/>
      <color rgb="FF003552"/>
      <color rgb="FF333333"/>
      <color rgb="FF1E548A"/>
      <color rgb="FFEF5757"/>
      <color rgb="FF00A020"/>
      <color rgb="FFFFCD2F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Occ.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'I. LeaseUp Template'!$D$10:$O$10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'I. LeaseUp Template'!$D$14:$O$14</c:f>
              <c:numCache>
                <c:formatCode>General</c:formatCode>
                <c:ptCount val="12"/>
                <c:pt idx="0">
                  <c:v>40</c:v>
                </c:pt>
                <c:pt idx="1">
                  <c:v>47</c:v>
                </c:pt>
                <c:pt idx="2">
                  <c:v>52</c:v>
                </c:pt>
                <c:pt idx="3">
                  <c:v>58</c:v>
                </c:pt>
                <c:pt idx="4">
                  <c:v>68</c:v>
                </c:pt>
                <c:pt idx="5">
                  <c:v>77</c:v>
                </c:pt>
                <c:pt idx="6">
                  <c:v>85</c:v>
                </c:pt>
                <c:pt idx="7">
                  <c:v>91</c:v>
                </c:pt>
                <c:pt idx="8">
                  <c:v>96</c:v>
                </c:pt>
                <c:pt idx="9">
                  <c:v>100</c:v>
                </c:pt>
                <c:pt idx="10">
                  <c:v>104</c:v>
                </c:pt>
                <c:pt idx="1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A-4982-8C27-5F5388835901}"/>
            </c:ext>
          </c:extLst>
        </c:ser>
        <c:ser>
          <c:idx val="1"/>
          <c:order val="1"/>
          <c:tx>
            <c:v>Actual Occ.</c:v>
          </c:tx>
          <c:spPr>
            <a:solidFill>
              <a:srgbClr val="00A0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'I. LeaseUp Template'!$D$10:$O$10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'I. LeaseUp Template'!$D$19:$G$19</c:f>
              <c:numCache>
                <c:formatCode>0</c:formatCode>
                <c:ptCount val="4"/>
                <c:pt idx="0">
                  <c:v>41</c:v>
                </c:pt>
                <c:pt idx="1">
                  <c:v>47</c:v>
                </c:pt>
                <c:pt idx="2">
                  <c:v>53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A-4982-8C27-5F5388835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4288079"/>
        <c:axId val="2024285199"/>
      </c:barChart>
      <c:lineChart>
        <c:grouping val="standard"/>
        <c:varyColors val="0"/>
        <c:ser>
          <c:idx val="2"/>
          <c:order val="2"/>
          <c:tx>
            <c:v>Leasing Actuals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8.5041923461589913E-5"/>
                  <c:y val="-6.5235681156293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87-4FA5-AC5B-EBD5BE0AD9D3}"/>
                </c:ext>
              </c:extLst>
            </c:dLbl>
            <c:dLbl>
              <c:idx val="3"/>
              <c:layout>
                <c:manualLayout>
                  <c:x val="6.3863768609923105E-3"/>
                  <c:y val="-0.132206761826004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65-4926-9B59-4128E34205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'I. LeaseUp Template'!$D$10:$O$10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'I. LeaseUp Template'!$D$29:$G$29</c:f>
              <c:numCache>
                <c:formatCode>#,##0_);[Red]\(#,##0\)</c:formatCode>
                <c:ptCount val="4"/>
                <c:pt idx="0">
                  <c:v>47</c:v>
                </c:pt>
                <c:pt idx="1">
                  <c:v>52</c:v>
                </c:pt>
                <c:pt idx="2">
                  <c:v>55</c:v>
                </c:pt>
                <c:pt idx="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EA-4982-8C27-5F5388835901}"/>
            </c:ext>
          </c:extLst>
        </c:ser>
        <c:ser>
          <c:idx val="4"/>
          <c:order val="4"/>
          <c:tx>
            <c:v>Pro-Forma Leasing Budget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2953621936501472E-2"/>
                  <c:y val="-0.112587638873907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52-4A8F-B441-4E07AF80D221}"/>
                </c:ext>
              </c:extLst>
            </c:dLbl>
            <c:dLbl>
              <c:idx val="1"/>
              <c:layout>
                <c:manualLayout>
                  <c:x val="1.0783836017489499E-2"/>
                  <c:y val="-9.432279869125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52-4A8F-B441-4E07AF80D2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'I. LeaseUp Template'!$D$10:$O$10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'I. LeaseUp Template'!$D$32:$O$32</c:f>
              <c:numCache>
                <c:formatCode>0</c:formatCode>
                <c:ptCount val="12"/>
                <c:pt idx="0">
                  <c:v>44</c:v>
                </c:pt>
                <c:pt idx="1">
                  <c:v>52</c:v>
                </c:pt>
                <c:pt idx="2">
                  <c:v>60</c:v>
                </c:pt>
                <c:pt idx="3">
                  <c:v>68</c:v>
                </c:pt>
                <c:pt idx="4">
                  <c:v>76</c:v>
                </c:pt>
                <c:pt idx="5">
                  <c:v>84</c:v>
                </c:pt>
                <c:pt idx="6">
                  <c:v>92</c:v>
                </c:pt>
                <c:pt idx="7">
                  <c:v>100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2-4A8F-B441-4E07AF80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288079"/>
        <c:axId val="2024285199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Leasing Forecast</c:v>
                </c:tx>
                <c:spPr>
                  <a:ln w="28575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'I. LeaseUp Template'!$D$10:$O$10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'I. LeaseUp Template'!$D$14:$O$14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47</c:v>
                      </c:pt>
                      <c:pt idx="2">
                        <c:v>52</c:v>
                      </c:pt>
                      <c:pt idx="3">
                        <c:v>58</c:v>
                      </c:pt>
                      <c:pt idx="4">
                        <c:v>68</c:v>
                      </c:pt>
                      <c:pt idx="5">
                        <c:v>77</c:v>
                      </c:pt>
                      <c:pt idx="6">
                        <c:v>85</c:v>
                      </c:pt>
                      <c:pt idx="7">
                        <c:v>91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104</c:v>
                      </c:pt>
                      <c:pt idx="11">
                        <c:v>107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9EA-4982-8C27-5F5388835901}"/>
                  </c:ext>
                </c:extLst>
              </c15:ser>
            </c15:filteredLineSeries>
          </c:ext>
        </c:extLst>
      </c:lineChart>
      <c:dateAx>
        <c:axId val="202428807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5199"/>
        <c:crosses val="autoZero"/>
        <c:auto val="1"/>
        <c:lblOffset val="100"/>
        <c:baseTimeUnit val="months"/>
      </c:dateAx>
      <c:valAx>
        <c:axId val="20242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444500</xdr:colOff>
      <xdr:row>0</xdr:row>
      <xdr:rowOff>268817</xdr:rowOff>
    </xdr:from>
    <xdr:to>
      <xdr:col>9</xdr:col>
      <xdr:colOff>260879</xdr:colOff>
      <xdr:row>2</xdr:row>
      <xdr:rowOff>161728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8BC56-C160-BD89-9859-64380141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7167" y="268817"/>
          <a:ext cx="2388129" cy="559661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35</xdr:row>
      <xdr:rowOff>38099</xdr:rowOff>
    </xdr:from>
    <xdr:to>
      <xdr:col>14</xdr:col>
      <xdr:colOff>781049</xdr:colOff>
      <xdr:row>46</xdr:row>
      <xdr:rowOff>133349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FD01D002-BDC6-377C-4E67-93FC622DF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1</xdr:row>
      <xdr:rowOff>73025</xdr:rowOff>
    </xdr:from>
    <xdr:to>
      <xdr:col>8</xdr:col>
      <xdr:colOff>384174</xdr:colOff>
      <xdr:row>4</xdr:row>
      <xdr:rowOff>148066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6A9F5-679B-449F-903A-464A617B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501650"/>
          <a:ext cx="2793999" cy="6465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49</xdr:row>
      <xdr:rowOff>140478</xdr:rowOff>
    </xdr:from>
    <xdr:to>
      <xdr:col>22</xdr:col>
      <xdr:colOff>187325</xdr:colOff>
      <xdr:row>60</xdr:row>
      <xdr:rowOff>1192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59E44A-6F62-17B0-FFAE-302DFEDF4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3725" y="7912878"/>
          <a:ext cx="4902200" cy="1862552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11</xdr:row>
      <xdr:rowOff>95250</xdr:rowOff>
    </xdr:from>
    <xdr:to>
      <xdr:col>24</xdr:col>
      <xdr:colOff>115140</xdr:colOff>
      <xdr:row>30</xdr:row>
      <xdr:rowOff>19495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19485-0E9C-112B-C228-A54CE838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2900" y="2333625"/>
          <a:ext cx="6020640" cy="319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B0178B-3B79-4583-A293-DED935ACEE9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32127ef-6db7-46f5-a846-4506e924914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4078-BF52-4600-A718-58DF5AD89F98}">
  <sheetPr>
    <tabColor theme="6" tint="0.39997558519241921"/>
  </sheetPr>
  <dimension ref="B1:X119"/>
  <sheetViews>
    <sheetView showGridLines="0" topLeftCell="A24" zoomScale="110" zoomScaleNormal="110" workbookViewId="0">
      <selection activeCell="E6" sqref="E6:F6"/>
    </sheetView>
  </sheetViews>
  <sheetFormatPr defaultColWidth="9.140625" defaultRowHeight="15" outlineLevelRow="1" outlineLevelCol="1" x14ac:dyDescent="0.25"/>
  <cols>
    <col min="1" max="1" width="4" style="64" customWidth="1"/>
    <col min="2" max="2" width="12.85546875" style="64" customWidth="1"/>
    <col min="3" max="3" width="13.28515625" style="64" customWidth="1"/>
    <col min="4" max="4" width="11.7109375" style="64" customWidth="1"/>
    <col min="5" max="5" width="12.42578125" style="64" customWidth="1"/>
    <col min="6" max="6" width="11.7109375" style="64" customWidth="1"/>
    <col min="7" max="7" width="13.140625" style="64" customWidth="1"/>
    <col min="8" max="8" width="13.5703125" style="64" customWidth="1"/>
    <col min="9" max="10" width="11.7109375" style="64" customWidth="1"/>
    <col min="11" max="11" width="10.5703125" style="64" customWidth="1"/>
    <col min="12" max="12" width="11.7109375" style="64" customWidth="1"/>
    <col min="13" max="13" width="12" style="64" customWidth="1"/>
    <col min="14" max="15" width="11.7109375" style="64" customWidth="1"/>
    <col min="16" max="16" width="11.7109375" style="64" hidden="1" customWidth="1" outlineLevel="1"/>
    <col min="17" max="17" width="8.42578125" style="64" customWidth="1" collapsed="1"/>
    <col min="18" max="18" width="12" style="64" bestFit="1" customWidth="1"/>
    <col min="19" max="20" width="9.140625" style="64"/>
    <col min="21" max="21" width="11.5703125" style="64" bestFit="1" customWidth="1"/>
    <col min="22" max="16384" width="9.140625" style="64"/>
  </cols>
  <sheetData>
    <row r="1" spans="2:16" ht="21.75" customHeight="1" x14ac:dyDescent="0.25">
      <c r="B1" s="1122" t="s">
        <v>840</v>
      </c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511"/>
    </row>
    <row r="2" spans="2:16" ht="30.75" customHeight="1" x14ac:dyDescent="0.25">
      <c r="B2" s="1123"/>
      <c r="C2" s="1123"/>
      <c r="D2" s="1123"/>
      <c r="E2" s="1123"/>
      <c r="F2" s="1123"/>
      <c r="G2" s="1123"/>
      <c r="H2" s="1123"/>
      <c r="I2" s="1123"/>
      <c r="J2" s="1123"/>
      <c r="K2" s="1123"/>
      <c r="L2" s="1123"/>
      <c r="M2" s="1123"/>
      <c r="N2" s="1123"/>
      <c r="O2" s="1123"/>
      <c r="P2" s="169"/>
    </row>
    <row r="3" spans="2:16" ht="15.75" x14ac:dyDescent="0.25">
      <c r="B3" s="512" t="s">
        <v>185</v>
      </c>
      <c r="C3" s="512">
        <v>117</v>
      </c>
      <c r="E3" s="511"/>
      <c r="F3" s="511"/>
      <c r="G3" s="511"/>
      <c r="H3" s="511"/>
      <c r="I3" s="511"/>
      <c r="J3" s="511"/>
      <c r="K3" s="511"/>
      <c r="L3" s="513"/>
      <c r="M3" s="511"/>
      <c r="N3" s="511"/>
      <c r="O3" s="511"/>
      <c r="P3" s="511"/>
    </row>
    <row r="4" spans="2:16" ht="15" customHeight="1" x14ac:dyDescent="0.25">
      <c r="B4" s="1126">
        <f>COUNT('Data Table'!P2:P118)</f>
        <v>57</v>
      </c>
      <c r="C4" s="1126"/>
      <c r="E4" s="1126">
        <f>COUNTIF('Data Table'!O2:O118,"Tenant Occupied*")</f>
        <v>55</v>
      </c>
      <c r="F4" s="1126"/>
      <c r="H4" s="1125">
        <f>F14</f>
        <v>52</v>
      </c>
      <c r="I4" s="1126"/>
      <c r="K4" s="1125">
        <f>F19</f>
        <v>53</v>
      </c>
      <c r="L4" s="1126"/>
      <c r="N4" s="1125">
        <f>F24</f>
        <v>6</v>
      </c>
      <c r="O4" s="1126"/>
    </row>
    <row r="5" spans="2:16" ht="18.75" customHeight="1" x14ac:dyDescent="0.25">
      <c r="B5" s="1126"/>
      <c r="C5" s="1126"/>
      <c r="E5" s="1126"/>
      <c r="F5" s="1126"/>
      <c r="H5" s="1126"/>
      <c r="I5" s="1126"/>
      <c r="K5" s="1126"/>
      <c r="L5" s="1126"/>
      <c r="N5" s="1126"/>
      <c r="O5" s="1126"/>
    </row>
    <row r="6" spans="2:16" ht="27" customHeight="1" x14ac:dyDescent="0.25">
      <c r="B6" s="1127" t="s">
        <v>688</v>
      </c>
      <c r="C6" s="1128"/>
      <c r="E6" s="1127" t="s">
        <v>689</v>
      </c>
      <c r="F6" s="1128"/>
      <c r="H6" s="1127" t="s">
        <v>812</v>
      </c>
      <c r="I6" s="1128"/>
      <c r="K6" s="1127" t="s">
        <v>813</v>
      </c>
      <c r="L6" s="1128"/>
      <c r="N6" s="1127" t="s">
        <v>754</v>
      </c>
      <c r="O6" s="1128"/>
    </row>
    <row r="7" spans="2:16" x14ac:dyDescent="0.25">
      <c r="B7" s="1129">
        <f>B4/C3</f>
        <v>0.48717948717948717</v>
      </c>
      <c r="C7" s="1129"/>
      <c r="E7" s="1129">
        <f>E4/C3</f>
        <v>0.47008547008547008</v>
      </c>
      <c r="F7" s="1129"/>
      <c r="H7" s="1129">
        <f>H4/C3</f>
        <v>0.44444444444444442</v>
      </c>
      <c r="I7" s="1129"/>
      <c r="K7" s="1129">
        <f>K4/C3</f>
        <v>0.45299145299145299</v>
      </c>
      <c r="L7" s="1129"/>
      <c r="N7" s="1129">
        <f>N4/C3</f>
        <v>5.128205128205128E-2</v>
      </c>
      <c r="O7" s="1129"/>
    </row>
    <row r="8" spans="2:16" ht="6.95" customHeight="1" thickBot="1" x14ac:dyDescent="0.3">
      <c r="B8" s="168"/>
      <c r="C8" s="168"/>
      <c r="D8" s="514"/>
    </row>
    <row r="9" spans="2:16" s="516" customFormat="1" thickBot="1" x14ac:dyDescent="0.3">
      <c r="B9" s="1130" t="s">
        <v>131</v>
      </c>
      <c r="C9" s="1131"/>
      <c r="D9" s="1131"/>
      <c r="E9" s="1131"/>
      <c r="F9" s="1131"/>
      <c r="G9" s="1131"/>
      <c r="H9" s="1131"/>
      <c r="I9" s="1131"/>
      <c r="J9" s="1131"/>
      <c r="K9" s="1131"/>
      <c r="L9" s="1131"/>
      <c r="M9" s="1131"/>
      <c r="N9" s="1131"/>
      <c r="O9" s="1132"/>
      <c r="P9" s="515"/>
    </row>
    <row r="10" spans="2:16" s="516" customFormat="1" ht="14.25" x14ac:dyDescent="0.25">
      <c r="B10" s="517"/>
      <c r="C10" s="518"/>
      <c r="D10" s="519">
        <v>46023</v>
      </c>
      <c r="E10" s="521">
        <v>46054</v>
      </c>
      <c r="F10" s="520">
        <v>46082</v>
      </c>
      <c r="G10" s="519">
        <v>46113</v>
      </c>
      <c r="H10" s="519">
        <v>46143</v>
      </c>
      <c r="I10" s="519">
        <v>46174</v>
      </c>
      <c r="J10" s="519">
        <v>46204</v>
      </c>
      <c r="K10" s="519">
        <v>46235</v>
      </c>
      <c r="L10" s="519">
        <v>46266</v>
      </c>
      <c r="M10" s="519">
        <v>46296</v>
      </c>
      <c r="N10" s="519">
        <v>46327</v>
      </c>
      <c r="O10" s="521">
        <v>46357</v>
      </c>
      <c r="P10" s="520" t="s">
        <v>316</v>
      </c>
    </row>
    <row r="11" spans="2:16" s="516" customFormat="1" x14ac:dyDescent="0.25">
      <c r="B11" s="522"/>
      <c r="C11" s="523"/>
      <c r="D11" s="523"/>
      <c r="E11" s="526"/>
      <c r="F11" s="524"/>
      <c r="G11" s="523"/>
      <c r="H11" s="525" t="s">
        <v>3</v>
      </c>
      <c r="I11" s="523"/>
      <c r="J11" s="523"/>
      <c r="K11" s="523"/>
      <c r="L11" s="523"/>
      <c r="M11" s="523"/>
      <c r="N11" s="523"/>
      <c r="O11" s="526"/>
      <c r="P11" s="527"/>
    </row>
    <row r="12" spans="2:16" s="534" customFormat="1" ht="14.25" x14ac:dyDescent="0.25">
      <c r="B12" s="528" t="s">
        <v>195</v>
      </c>
      <c r="C12" s="529"/>
      <c r="D12" s="530">
        <v>33</v>
      </c>
      <c r="E12" s="532">
        <f>D14</f>
        <v>40</v>
      </c>
      <c r="F12" s="531">
        <f>E14</f>
        <v>47</v>
      </c>
      <c r="G12" s="530">
        <f t="shared" ref="G12:O12" si="0">F14</f>
        <v>52</v>
      </c>
      <c r="H12" s="530">
        <f t="shared" si="0"/>
        <v>58</v>
      </c>
      <c r="I12" s="530">
        <f t="shared" si="0"/>
        <v>68</v>
      </c>
      <c r="J12" s="530">
        <f t="shared" si="0"/>
        <v>77</v>
      </c>
      <c r="K12" s="530">
        <f t="shared" si="0"/>
        <v>85</v>
      </c>
      <c r="L12" s="530">
        <f t="shared" si="0"/>
        <v>91</v>
      </c>
      <c r="M12" s="530">
        <f t="shared" si="0"/>
        <v>96</v>
      </c>
      <c r="N12" s="530">
        <f>M14</f>
        <v>100</v>
      </c>
      <c r="O12" s="532">
        <f t="shared" si="0"/>
        <v>104</v>
      </c>
      <c r="P12" s="533"/>
    </row>
    <row r="13" spans="2:16" s="534" customFormat="1" ht="14.25" x14ac:dyDescent="0.25">
      <c r="B13" s="535" t="s">
        <v>474</v>
      </c>
      <c r="C13" s="536"/>
      <c r="D13" s="537">
        <f>D14-D12</f>
        <v>7</v>
      </c>
      <c r="E13" s="539">
        <f t="shared" ref="E13:O13" si="1">E14-E12</f>
        <v>7</v>
      </c>
      <c r="F13" s="538">
        <f t="shared" si="1"/>
        <v>5</v>
      </c>
      <c r="G13" s="537">
        <f t="shared" si="1"/>
        <v>6</v>
      </c>
      <c r="H13" s="537">
        <f t="shared" si="1"/>
        <v>10</v>
      </c>
      <c r="I13" s="537">
        <f t="shared" si="1"/>
        <v>9</v>
      </c>
      <c r="J13" s="537">
        <f t="shared" si="1"/>
        <v>8</v>
      </c>
      <c r="K13" s="537">
        <f t="shared" si="1"/>
        <v>6</v>
      </c>
      <c r="L13" s="537">
        <f t="shared" si="1"/>
        <v>5</v>
      </c>
      <c r="M13" s="537">
        <f t="shared" si="1"/>
        <v>4</v>
      </c>
      <c r="N13" s="537">
        <f t="shared" si="1"/>
        <v>4</v>
      </c>
      <c r="O13" s="539">
        <f t="shared" si="1"/>
        <v>3</v>
      </c>
      <c r="P13" s="533"/>
    </row>
    <row r="14" spans="2:16" s="516" customFormat="1" ht="14.25" x14ac:dyDescent="0.25">
      <c r="B14" s="540" t="s">
        <v>202</v>
      </c>
      <c r="C14" s="541"/>
      <c r="D14" s="542">
        <v>40</v>
      </c>
      <c r="E14" s="544">
        <v>47</v>
      </c>
      <c r="F14" s="543">
        <v>52</v>
      </c>
      <c r="G14" s="542">
        <v>58</v>
      </c>
      <c r="H14" s="542">
        <v>68</v>
      </c>
      <c r="I14" s="542">
        <v>77</v>
      </c>
      <c r="J14" s="542">
        <v>85</v>
      </c>
      <c r="K14" s="542">
        <v>91</v>
      </c>
      <c r="L14" s="542">
        <v>96</v>
      </c>
      <c r="M14" s="542">
        <v>100</v>
      </c>
      <c r="N14" s="542">
        <v>104</v>
      </c>
      <c r="O14" s="544">
        <v>107</v>
      </c>
      <c r="P14" s="545">
        <f>O14</f>
        <v>107</v>
      </c>
    </row>
    <row r="15" spans="2:16" s="552" customFormat="1" ht="14.25" x14ac:dyDescent="0.25">
      <c r="B15" s="546" t="s">
        <v>236</v>
      </c>
      <c r="C15" s="547"/>
      <c r="D15" s="548">
        <f t="shared" ref="D15:P15" si="2">D14/117</f>
        <v>0.34188034188034189</v>
      </c>
      <c r="E15" s="1000">
        <f t="shared" si="2"/>
        <v>0.40170940170940173</v>
      </c>
      <c r="F15" s="549">
        <f t="shared" si="2"/>
        <v>0.44444444444444442</v>
      </c>
      <c r="G15" s="548">
        <f t="shared" si="2"/>
        <v>0.49572649572649574</v>
      </c>
      <c r="H15" s="548">
        <f t="shared" si="2"/>
        <v>0.58119658119658124</v>
      </c>
      <c r="I15" s="548">
        <f t="shared" si="2"/>
        <v>0.65811965811965811</v>
      </c>
      <c r="J15" s="548">
        <f t="shared" si="2"/>
        <v>0.72649572649572647</v>
      </c>
      <c r="K15" s="548">
        <f t="shared" si="2"/>
        <v>0.77777777777777779</v>
      </c>
      <c r="L15" s="548">
        <f t="shared" si="2"/>
        <v>0.82051282051282048</v>
      </c>
      <c r="M15" s="548">
        <f t="shared" si="2"/>
        <v>0.85470085470085466</v>
      </c>
      <c r="N15" s="548">
        <f t="shared" si="2"/>
        <v>0.88888888888888884</v>
      </c>
      <c r="O15" s="550">
        <f t="shared" si="2"/>
        <v>0.9145299145299145</v>
      </c>
      <c r="P15" s="551">
        <f t="shared" si="2"/>
        <v>0.9145299145299145</v>
      </c>
    </row>
    <row r="16" spans="2:16" s="552" customFormat="1" ht="14.25" x14ac:dyDescent="0.25">
      <c r="B16" s="553"/>
      <c r="D16" s="554"/>
      <c r="E16" s="1001"/>
      <c r="F16" s="555"/>
      <c r="G16" s="554"/>
      <c r="H16" s="554"/>
      <c r="I16" s="554"/>
      <c r="J16" s="554"/>
      <c r="K16" s="554"/>
      <c r="L16" s="554"/>
      <c r="M16" s="554"/>
      <c r="N16" s="554"/>
      <c r="O16" s="556"/>
      <c r="P16" s="557"/>
    </row>
    <row r="17" spans="2:16" s="552" customFormat="1" x14ac:dyDescent="0.25">
      <c r="B17" s="885"/>
      <c r="C17" s="886"/>
      <c r="D17" s="886"/>
      <c r="E17" s="888"/>
      <c r="F17" s="887"/>
      <c r="G17" s="886"/>
      <c r="H17" s="886" t="s">
        <v>201</v>
      </c>
      <c r="I17" s="886"/>
      <c r="J17" s="886"/>
      <c r="K17" s="886"/>
      <c r="L17" s="886"/>
      <c r="M17" s="886"/>
      <c r="N17" s="886"/>
      <c r="O17" s="888"/>
      <c r="P17" s="558"/>
    </row>
    <row r="18" spans="2:16" s="565" customFormat="1" ht="14.25" x14ac:dyDescent="0.25">
      <c r="B18" s="559" t="s">
        <v>195</v>
      </c>
      <c r="C18" s="560"/>
      <c r="D18" s="561">
        <v>33</v>
      </c>
      <c r="E18" s="563">
        <f>D19</f>
        <v>41</v>
      </c>
      <c r="F18" s="562">
        <f>E19</f>
        <v>47</v>
      </c>
      <c r="G18" s="561">
        <f>F19</f>
        <v>53</v>
      </c>
      <c r="H18" s="561">
        <f t="shared" ref="H18:P18" si="3">G19</f>
        <v>56</v>
      </c>
      <c r="I18" s="561">
        <f t="shared" si="3"/>
        <v>57</v>
      </c>
      <c r="J18" s="561">
        <f t="shared" si="3"/>
        <v>57</v>
      </c>
      <c r="K18" s="561">
        <f t="shared" si="3"/>
        <v>57</v>
      </c>
      <c r="L18" s="561">
        <f t="shared" si="3"/>
        <v>57</v>
      </c>
      <c r="M18" s="561">
        <f t="shared" si="3"/>
        <v>57</v>
      </c>
      <c r="N18" s="561">
        <f>M19</f>
        <v>57</v>
      </c>
      <c r="O18" s="563">
        <f t="shared" si="3"/>
        <v>57</v>
      </c>
      <c r="P18" s="564">
        <f t="shared" si="3"/>
        <v>57</v>
      </c>
    </row>
    <row r="19" spans="2:16" s="516" customFormat="1" ht="14.25" x14ac:dyDescent="0.25">
      <c r="B19" s="566" t="s">
        <v>202</v>
      </c>
      <c r="C19" s="567"/>
      <c r="D19" s="568">
        <v>41</v>
      </c>
      <c r="E19" s="1002">
        <f>E18+E24</f>
        <v>47</v>
      </c>
      <c r="F19" s="1011">
        <f t="shared" ref="F19:O19" si="4">F18+F24</f>
        <v>53</v>
      </c>
      <c r="G19" s="569">
        <f>G18+G24</f>
        <v>56</v>
      </c>
      <c r="H19" s="569">
        <f>H18+H24</f>
        <v>57</v>
      </c>
      <c r="I19" s="569">
        <f t="shared" si="4"/>
        <v>57</v>
      </c>
      <c r="J19" s="569">
        <f t="shared" si="4"/>
        <v>57</v>
      </c>
      <c r="K19" s="569">
        <f t="shared" si="4"/>
        <v>57</v>
      </c>
      <c r="L19" s="569">
        <f t="shared" si="4"/>
        <v>57</v>
      </c>
      <c r="M19" s="569">
        <f t="shared" si="4"/>
        <v>57</v>
      </c>
      <c r="N19" s="569">
        <f t="shared" si="4"/>
        <v>57</v>
      </c>
      <c r="O19" s="570">
        <f t="shared" si="4"/>
        <v>57</v>
      </c>
      <c r="P19" s="571">
        <f>O19</f>
        <v>57</v>
      </c>
    </row>
    <row r="20" spans="2:16" s="552" customFormat="1" ht="14.25" x14ac:dyDescent="0.25">
      <c r="B20" s="572" t="s">
        <v>236</v>
      </c>
      <c r="C20" s="573"/>
      <c r="D20" s="574">
        <f>D19/$C$3</f>
        <v>0.3504273504273504</v>
      </c>
      <c r="E20" s="1003">
        <f t="shared" ref="E20:O20" si="5">E19/$C$3</f>
        <v>0.40170940170940173</v>
      </c>
      <c r="F20" s="575">
        <f t="shared" si="5"/>
        <v>0.45299145299145299</v>
      </c>
      <c r="G20" s="1054">
        <f t="shared" si="5"/>
        <v>0.47863247863247865</v>
      </c>
      <c r="H20" s="574">
        <f t="shared" si="5"/>
        <v>0.48717948717948717</v>
      </c>
      <c r="I20" s="574">
        <f t="shared" si="5"/>
        <v>0.48717948717948717</v>
      </c>
      <c r="J20" s="574">
        <f t="shared" si="5"/>
        <v>0.48717948717948717</v>
      </c>
      <c r="K20" s="574">
        <f t="shared" si="5"/>
        <v>0.48717948717948717</v>
      </c>
      <c r="L20" s="574">
        <f t="shared" si="5"/>
        <v>0.48717948717948717</v>
      </c>
      <c r="M20" s="574">
        <f t="shared" si="5"/>
        <v>0.48717948717948717</v>
      </c>
      <c r="N20" s="574">
        <f t="shared" si="5"/>
        <v>0.48717948717948717</v>
      </c>
      <c r="O20" s="576">
        <f t="shared" si="5"/>
        <v>0.48717948717948717</v>
      </c>
      <c r="P20" s="577">
        <f>P19/$C$3</f>
        <v>0.48717948717948717</v>
      </c>
    </row>
    <row r="21" spans="2:16" s="552" customFormat="1" ht="14.25" x14ac:dyDescent="0.25">
      <c r="B21" s="553"/>
      <c r="D21" s="578"/>
      <c r="E21" s="1004"/>
      <c r="F21" s="577"/>
      <c r="G21" s="578"/>
      <c r="H21" s="578"/>
      <c r="I21" s="578"/>
      <c r="J21" s="578"/>
      <c r="K21" s="578"/>
      <c r="L21" s="578"/>
      <c r="M21" s="578"/>
      <c r="N21" s="578"/>
      <c r="O21" s="579"/>
      <c r="P21" s="580"/>
    </row>
    <row r="22" spans="2:16" s="587" customFormat="1" ht="14.25" x14ac:dyDescent="0.25">
      <c r="B22" s="581" t="s">
        <v>196</v>
      </c>
      <c r="C22" s="582"/>
      <c r="D22" s="583">
        <f>D19-D18</f>
        <v>8</v>
      </c>
      <c r="E22" s="585">
        <f>'Lease Tracker'!M14</f>
        <v>7</v>
      </c>
      <c r="F22" s="584">
        <f>'Lease Tracker'!N14</f>
        <v>6</v>
      </c>
      <c r="G22" s="583">
        <f>'Lease Tracker'!O14</f>
        <v>3</v>
      </c>
      <c r="H22" s="583">
        <f>'Lease Tracker'!P14</f>
        <v>1</v>
      </c>
      <c r="I22" s="583">
        <f>'Lease Tracker'!Q14</f>
        <v>1</v>
      </c>
      <c r="J22" s="583">
        <f>'Lease Tracker'!R14</f>
        <v>0</v>
      </c>
      <c r="K22" s="583">
        <f>'Lease Tracker'!S14</f>
        <v>0</v>
      </c>
      <c r="L22" s="583">
        <f>'Lease Tracker'!T14</f>
        <v>0</v>
      </c>
      <c r="M22" s="583">
        <f>'Lease Tracker'!U14</f>
        <v>0</v>
      </c>
      <c r="N22" s="583">
        <f>'Lease Tracker'!V14</f>
        <v>0</v>
      </c>
      <c r="O22" s="585">
        <f>'Lease Tracker'!W14</f>
        <v>0</v>
      </c>
      <c r="P22" s="586">
        <f>SUM(D22:O22)</f>
        <v>26</v>
      </c>
    </row>
    <row r="23" spans="2:16" s="587" customFormat="1" ht="14.25" x14ac:dyDescent="0.25">
      <c r="B23" s="588" t="s">
        <v>197</v>
      </c>
      <c r="C23" s="589"/>
      <c r="D23" s="590"/>
      <c r="E23" s="592">
        <f>'Lease Tracker'!M15</f>
        <v>-1</v>
      </c>
      <c r="F23" s="591">
        <f>'Lease Tracker'!N15</f>
        <v>0</v>
      </c>
      <c r="G23" s="590">
        <f>'Lease Tracker'!O15</f>
        <v>0</v>
      </c>
      <c r="H23" s="590">
        <f>'Lease Tracker'!P15</f>
        <v>0</v>
      </c>
      <c r="I23" s="590">
        <f>'Lease Tracker'!Q15</f>
        <v>-1</v>
      </c>
      <c r="J23" s="590">
        <f>'Lease Tracker'!R15</f>
        <v>0</v>
      </c>
      <c r="K23" s="590">
        <f>'Lease Tracker'!S15</f>
        <v>0</v>
      </c>
      <c r="L23" s="590">
        <f>'Lease Tracker'!T15</f>
        <v>0</v>
      </c>
      <c r="M23" s="590">
        <f>'Lease Tracker'!U15</f>
        <v>0</v>
      </c>
      <c r="N23" s="590">
        <f>'Lease Tracker'!V15</f>
        <v>0</v>
      </c>
      <c r="O23" s="592">
        <f>'Lease Tracker'!W15</f>
        <v>0</v>
      </c>
      <c r="P23" s="593">
        <f>SUM(D23:O23)</f>
        <v>-2</v>
      </c>
    </row>
    <row r="24" spans="2:16" s="587" customFormat="1" ht="14.25" x14ac:dyDescent="0.25">
      <c r="B24" s="594" t="s">
        <v>475</v>
      </c>
      <c r="C24" s="595"/>
      <c r="D24" s="596">
        <f>D23+D22</f>
        <v>8</v>
      </c>
      <c r="E24" s="598">
        <f t="shared" ref="E24:O24" si="6">E23+E22</f>
        <v>6</v>
      </c>
      <c r="F24" s="597">
        <f t="shared" si="6"/>
        <v>6</v>
      </c>
      <c r="G24" s="596">
        <f t="shared" si="6"/>
        <v>3</v>
      </c>
      <c r="H24" s="596">
        <f>H23+H22</f>
        <v>1</v>
      </c>
      <c r="I24" s="596">
        <f t="shared" si="6"/>
        <v>0</v>
      </c>
      <c r="J24" s="596">
        <f t="shared" si="6"/>
        <v>0</v>
      </c>
      <c r="K24" s="596">
        <f t="shared" si="6"/>
        <v>0</v>
      </c>
      <c r="L24" s="596">
        <f t="shared" si="6"/>
        <v>0</v>
      </c>
      <c r="M24" s="596">
        <f t="shared" si="6"/>
        <v>0</v>
      </c>
      <c r="N24" s="596">
        <f t="shared" si="6"/>
        <v>0</v>
      </c>
      <c r="O24" s="598">
        <f t="shared" si="6"/>
        <v>0</v>
      </c>
      <c r="P24" s="593"/>
    </row>
    <row r="25" spans="2:16" s="587" customFormat="1" ht="14.25" x14ac:dyDescent="0.25">
      <c r="B25" s="599"/>
      <c r="D25" s="600"/>
      <c r="E25" s="602"/>
      <c r="F25" s="601"/>
      <c r="G25" s="600"/>
      <c r="H25" s="600"/>
      <c r="I25" s="600"/>
      <c r="J25" s="600"/>
      <c r="K25" s="600"/>
      <c r="L25" s="600"/>
      <c r="M25" s="600"/>
      <c r="N25" s="600"/>
      <c r="O25" s="602"/>
      <c r="P25" s="603"/>
    </row>
    <row r="26" spans="2:16" s="610" customFormat="1" ht="15.75" customHeight="1" x14ac:dyDescent="0.25">
      <c r="B26" s="604" t="s">
        <v>322</v>
      </c>
      <c r="C26" s="605"/>
      <c r="D26" s="606">
        <f>'Lease Tracker'!L13</f>
        <v>8</v>
      </c>
      <c r="E26" s="608">
        <v>5</v>
      </c>
      <c r="F26" s="607">
        <f>'Lease Tracker'!N13</f>
        <v>3</v>
      </c>
      <c r="G26" s="606">
        <f>'Lease Tracker'!O13</f>
        <v>3</v>
      </c>
      <c r="H26" s="606">
        <f>'Lease Tracker'!P13</f>
        <v>0</v>
      </c>
      <c r="I26" s="606">
        <f>'Lease Tracker'!Q13</f>
        <v>0</v>
      </c>
      <c r="J26" s="606">
        <f>'Lease Tracker'!R13</f>
        <v>0</v>
      </c>
      <c r="K26" s="606">
        <f>'Lease Tracker'!S13</f>
        <v>0</v>
      </c>
      <c r="L26" s="606">
        <f>'Lease Tracker'!T13</f>
        <v>0</v>
      </c>
      <c r="M26" s="606">
        <f>'Lease Tracker'!U13</f>
        <v>0</v>
      </c>
      <c r="N26" s="606">
        <f>'Lease Tracker'!V13</f>
        <v>0</v>
      </c>
      <c r="O26" s="608">
        <f>'Lease Tracker'!W13</f>
        <v>0</v>
      </c>
      <c r="P26" s="609">
        <f>SUM(D26:O26)</f>
        <v>19</v>
      </c>
    </row>
    <row r="27" spans="2:16" s="610" customFormat="1" ht="15.75" customHeight="1" x14ac:dyDescent="0.25">
      <c r="B27" s="611" t="s">
        <v>758</v>
      </c>
      <c r="C27" s="612"/>
      <c r="D27" s="613"/>
      <c r="E27" s="615">
        <v>0</v>
      </c>
      <c r="F27" s="614"/>
      <c r="G27" s="613"/>
      <c r="H27" s="613"/>
      <c r="I27" s="613"/>
      <c r="J27" s="613"/>
      <c r="K27" s="613"/>
      <c r="L27" s="613"/>
      <c r="M27" s="613"/>
      <c r="N27" s="613"/>
      <c r="O27" s="615"/>
      <c r="P27" s="586"/>
    </row>
    <row r="28" spans="2:16" s="610" customFormat="1" ht="15.75" customHeight="1" x14ac:dyDescent="0.25">
      <c r="B28" s="611" t="s">
        <v>486</v>
      </c>
      <c r="C28" s="612"/>
      <c r="D28" s="613"/>
      <c r="E28" s="615"/>
      <c r="F28" s="614">
        <v>2</v>
      </c>
      <c r="G28" s="613"/>
      <c r="H28" s="613"/>
      <c r="I28" s="613"/>
      <c r="J28" s="613"/>
      <c r="K28" s="613"/>
      <c r="L28" s="613"/>
      <c r="M28" s="613"/>
      <c r="N28" s="613"/>
      <c r="O28" s="615"/>
      <c r="P28" s="586"/>
    </row>
    <row r="29" spans="2:16" s="610" customFormat="1" ht="15.75" customHeight="1" x14ac:dyDescent="0.25">
      <c r="B29" s="616" t="s">
        <v>321</v>
      </c>
      <c r="C29" s="617"/>
      <c r="D29" s="618">
        <v>47</v>
      </c>
      <c r="E29" s="619">
        <f>D29+E26+E27</f>
        <v>52</v>
      </c>
      <c r="F29" s="917">
        <f>E29+F26+F27</f>
        <v>55</v>
      </c>
      <c r="G29" s="618">
        <f t="shared" ref="G29:O29" si="7">F29+G26+G27</f>
        <v>58</v>
      </c>
      <c r="H29" s="618">
        <f t="shared" si="7"/>
        <v>58</v>
      </c>
      <c r="I29" s="618">
        <f t="shared" si="7"/>
        <v>58</v>
      </c>
      <c r="J29" s="618">
        <f t="shared" si="7"/>
        <v>58</v>
      </c>
      <c r="K29" s="618">
        <f t="shared" si="7"/>
        <v>58</v>
      </c>
      <c r="L29" s="618">
        <f t="shared" si="7"/>
        <v>58</v>
      </c>
      <c r="M29" s="618">
        <f t="shared" si="7"/>
        <v>58</v>
      </c>
      <c r="N29" s="618">
        <f t="shared" si="7"/>
        <v>58</v>
      </c>
      <c r="O29" s="619">
        <f t="shared" si="7"/>
        <v>58</v>
      </c>
      <c r="P29" s="593">
        <f>O29</f>
        <v>58</v>
      </c>
    </row>
    <row r="30" spans="2:16" s="610" customFormat="1" ht="15.75" customHeight="1" x14ac:dyDescent="0.25">
      <c r="B30" s="559"/>
      <c r="C30" s="560"/>
      <c r="D30" s="1006">
        <f>D29/$C$3</f>
        <v>0.40170940170940173</v>
      </c>
      <c r="E30" s="1005">
        <f t="shared" ref="E30:O30" si="8">E29/$C$3</f>
        <v>0.44444444444444442</v>
      </c>
      <c r="F30" s="1012">
        <f t="shared" si="8"/>
        <v>0.47008547008547008</v>
      </c>
      <c r="G30" s="620">
        <f t="shared" si="8"/>
        <v>0.49572649572649574</v>
      </c>
      <c r="H30" s="620">
        <f t="shared" si="8"/>
        <v>0.49572649572649574</v>
      </c>
      <c r="I30" s="620">
        <f t="shared" si="8"/>
        <v>0.49572649572649574</v>
      </c>
      <c r="J30" s="620">
        <f t="shared" si="8"/>
        <v>0.49572649572649574</v>
      </c>
      <c r="K30" s="620">
        <f t="shared" si="8"/>
        <v>0.49572649572649574</v>
      </c>
      <c r="L30" s="620">
        <f t="shared" si="8"/>
        <v>0.49572649572649574</v>
      </c>
      <c r="M30" s="620">
        <f t="shared" si="8"/>
        <v>0.49572649572649574</v>
      </c>
      <c r="N30" s="620">
        <f t="shared" si="8"/>
        <v>0.49572649572649574</v>
      </c>
      <c r="O30" s="621">
        <f t="shared" si="8"/>
        <v>0.49572649572649574</v>
      </c>
      <c r="P30" s="601"/>
    </row>
    <row r="31" spans="2:16" s="552" customFormat="1" x14ac:dyDescent="0.25">
      <c r="B31" s="1151" t="s">
        <v>464</v>
      </c>
      <c r="C31" s="1152"/>
      <c r="D31" s="1152"/>
      <c r="E31" s="1152"/>
      <c r="F31" s="1152"/>
      <c r="G31" s="1152"/>
      <c r="H31" s="1152"/>
      <c r="I31" s="1152"/>
      <c r="J31" s="1152"/>
      <c r="K31" s="1152"/>
      <c r="L31" s="1152"/>
      <c r="M31" s="1152"/>
      <c r="N31" s="1152"/>
      <c r="O31" s="1153"/>
      <c r="P31" s="622"/>
    </row>
    <row r="32" spans="2:16" s="516" customFormat="1" ht="14.25" x14ac:dyDescent="0.25">
      <c r="B32" s="623" t="s">
        <v>527</v>
      </c>
      <c r="C32" s="541"/>
      <c r="D32" s="1009">
        <v>44</v>
      </c>
      <c r="E32" s="1007">
        <v>52</v>
      </c>
      <c r="F32" s="918">
        <v>60</v>
      </c>
      <c r="G32" s="624">
        <v>68</v>
      </c>
      <c r="H32" s="624">
        <v>76</v>
      </c>
      <c r="I32" s="624">
        <v>84</v>
      </c>
      <c r="J32" s="624">
        <v>92</v>
      </c>
      <c r="K32" s="624">
        <v>100</v>
      </c>
      <c r="L32" s="624">
        <v>108</v>
      </c>
      <c r="M32" s="624">
        <v>116</v>
      </c>
      <c r="N32" s="624">
        <v>116</v>
      </c>
      <c r="O32" s="625">
        <v>116</v>
      </c>
      <c r="P32" s="626">
        <v>116</v>
      </c>
    </row>
    <row r="33" spans="2:22" s="552" customFormat="1" thickBot="1" x14ac:dyDescent="0.3">
      <c r="B33" s="627" t="s">
        <v>7</v>
      </c>
      <c r="C33" s="628"/>
      <c r="D33" s="1010">
        <f t="shared" ref="D33:P33" si="9">D32/117</f>
        <v>0.37606837606837606</v>
      </c>
      <c r="E33" s="1008">
        <f t="shared" si="9"/>
        <v>0.44444444444444442</v>
      </c>
      <c r="F33" s="919">
        <f t="shared" si="9"/>
        <v>0.51282051282051277</v>
      </c>
      <c r="G33" s="629">
        <f t="shared" si="9"/>
        <v>0.58119658119658124</v>
      </c>
      <c r="H33" s="629">
        <f t="shared" si="9"/>
        <v>0.6495726495726496</v>
      </c>
      <c r="I33" s="629">
        <f t="shared" si="9"/>
        <v>0.71794871794871795</v>
      </c>
      <c r="J33" s="629">
        <f t="shared" si="9"/>
        <v>0.78632478632478631</v>
      </c>
      <c r="K33" s="629">
        <f t="shared" si="9"/>
        <v>0.85470085470085466</v>
      </c>
      <c r="L33" s="629">
        <f t="shared" si="9"/>
        <v>0.92307692307692313</v>
      </c>
      <c r="M33" s="629">
        <f t="shared" si="9"/>
        <v>0.99145299145299148</v>
      </c>
      <c r="N33" s="629">
        <f t="shared" si="9"/>
        <v>0.99145299145299148</v>
      </c>
      <c r="O33" s="630">
        <f t="shared" si="9"/>
        <v>0.99145299145299148</v>
      </c>
      <c r="P33" s="631">
        <f t="shared" si="9"/>
        <v>0.99145299145299148</v>
      </c>
    </row>
    <row r="34" spans="2:22" s="516" customFormat="1" ht="6.95" customHeight="1" thickBot="1" x14ac:dyDescent="0.3"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R34" s="587"/>
    </row>
    <row r="35" spans="2:22" s="516" customFormat="1" thickBot="1" x14ac:dyDescent="0.3">
      <c r="B35" s="1130" t="s">
        <v>122</v>
      </c>
      <c r="C35" s="1131"/>
      <c r="D35" s="1131"/>
      <c r="E35" s="1131"/>
      <c r="F35" s="1131"/>
      <c r="G35" s="1131"/>
      <c r="H35" s="1131"/>
      <c r="I35" s="1131"/>
      <c r="J35" s="1131"/>
      <c r="K35" s="1131"/>
      <c r="L35" s="1131"/>
      <c r="M35" s="1131"/>
      <c r="N35" s="1131"/>
      <c r="O35" s="1132"/>
      <c r="P35" s="633"/>
    </row>
    <row r="36" spans="2:22" s="516" customFormat="1" ht="14.25" x14ac:dyDescent="0.25"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4"/>
      <c r="P36" s="635"/>
    </row>
    <row r="37" spans="2:22" s="516" customFormat="1" ht="14.25" x14ac:dyDescent="0.25"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5"/>
    </row>
    <row r="38" spans="2:22" s="516" customFormat="1" ht="14.25" x14ac:dyDescent="0.25">
      <c r="B38" s="634"/>
      <c r="C38" s="634"/>
      <c r="D38" s="634"/>
      <c r="E38" s="634"/>
      <c r="F38" s="634"/>
      <c r="G38" s="634"/>
      <c r="H38" s="634"/>
      <c r="I38" s="634"/>
      <c r="J38" s="634"/>
      <c r="K38" s="634"/>
      <c r="L38" s="634"/>
      <c r="M38" s="634"/>
      <c r="N38" s="634"/>
      <c r="O38" s="634"/>
      <c r="P38" s="635"/>
    </row>
    <row r="39" spans="2:22" s="516" customFormat="1" ht="14.25" x14ac:dyDescent="0.25">
      <c r="B39" s="634"/>
      <c r="C39" s="634"/>
      <c r="D39" s="634"/>
      <c r="E39" s="634"/>
      <c r="F39" s="634"/>
      <c r="G39" s="634"/>
      <c r="H39" s="634"/>
      <c r="I39" s="634"/>
      <c r="J39" s="634"/>
      <c r="K39" s="634"/>
      <c r="L39" s="634"/>
      <c r="M39" s="634"/>
      <c r="N39" s="634"/>
      <c r="O39" s="634"/>
      <c r="P39" s="635"/>
      <c r="R39" s="587"/>
      <c r="S39" s="587"/>
      <c r="T39" s="587"/>
      <c r="U39" s="587"/>
      <c r="V39" s="587"/>
    </row>
    <row r="40" spans="2:22" s="516" customFormat="1" ht="14.25" x14ac:dyDescent="0.25"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5"/>
      <c r="R40" s="587"/>
      <c r="S40" s="587"/>
      <c r="T40" s="587"/>
      <c r="U40" s="587"/>
      <c r="V40" s="587"/>
    </row>
    <row r="41" spans="2:22" s="516" customFormat="1" ht="14.25" x14ac:dyDescent="0.25">
      <c r="B41" s="634"/>
      <c r="C41" s="634"/>
      <c r="D41" s="634"/>
      <c r="E41" s="634"/>
      <c r="F41" s="634"/>
      <c r="G41" s="634"/>
      <c r="H41" s="634"/>
      <c r="I41" s="634"/>
      <c r="J41" s="634"/>
      <c r="K41" s="634"/>
      <c r="L41" s="634"/>
      <c r="M41" s="634"/>
      <c r="N41" s="634"/>
      <c r="O41" s="634"/>
      <c r="P41" s="635"/>
    </row>
    <row r="42" spans="2:22" s="516" customFormat="1" ht="14.25" x14ac:dyDescent="0.25">
      <c r="B42" s="634"/>
      <c r="C42" s="634"/>
      <c r="D42" s="634"/>
      <c r="E42" s="634"/>
      <c r="F42" s="634"/>
      <c r="G42" s="634"/>
      <c r="H42" s="634"/>
      <c r="I42" s="634"/>
      <c r="J42" s="634"/>
      <c r="K42" s="634"/>
      <c r="L42" s="634"/>
      <c r="M42" s="634"/>
      <c r="N42" s="634"/>
      <c r="O42" s="634"/>
      <c r="P42" s="635"/>
    </row>
    <row r="43" spans="2:22" s="516" customFormat="1" ht="14.25" x14ac:dyDescent="0.25"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4"/>
      <c r="P43" s="635"/>
    </row>
    <row r="44" spans="2:22" s="516" customFormat="1" ht="14.25" x14ac:dyDescent="0.25"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5"/>
    </row>
    <row r="45" spans="2:22" s="516" customFormat="1" ht="14.25" x14ac:dyDescent="0.25">
      <c r="B45" s="634"/>
      <c r="C45" s="634"/>
      <c r="D45" s="634"/>
      <c r="E45" s="634"/>
      <c r="F45" s="634"/>
      <c r="G45" s="634"/>
      <c r="H45" s="634"/>
      <c r="I45" s="634"/>
      <c r="J45" s="634"/>
      <c r="K45" s="634"/>
      <c r="L45" s="634"/>
      <c r="M45" s="634"/>
      <c r="N45" s="634"/>
      <c r="O45" s="634"/>
      <c r="P45" s="635"/>
    </row>
    <row r="46" spans="2:22" s="516" customFormat="1" ht="14.25" x14ac:dyDescent="0.25"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4"/>
      <c r="P46" s="635"/>
    </row>
    <row r="47" spans="2:22" s="638" customFormat="1" ht="12.75" thickBot="1" x14ac:dyDescent="0.25">
      <c r="B47" s="636"/>
      <c r="C47" s="636"/>
      <c r="D47" s="637"/>
      <c r="E47" s="637"/>
      <c r="F47" s="637"/>
      <c r="G47" s="637"/>
      <c r="H47" s="637"/>
      <c r="I47" s="637"/>
      <c r="J47" s="637"/>
      <c r="K47" s="637"/>
      <c r="L47" s="637"/>
      <c r="M47" s="637"/>
      <c r="N47" s="637"/>
      <c r="O47" s="637"/>
      <c r="P47" s="637"/>
    </row>
    <row r="48" spans="2:22" s="516" customFormat="1" thickBot="1" x14ac:dyDescent="0.3">
      <c r="B48" s="1130" t="s">
        <v>694</v>
      </c>
      <c r="C48" s="1131"/>
      <c r="D48" s="1131"/>
      <c r="E48" s="1131"/>
      <c r="F48" s="1131"/>
      <c r="G48" s="1131"/>
      <c r="H48" s="1131"/>
      <c r="I48" s="1131"/>
      <c r="J48" s="1131"/>
      <c r="K48" s="1131"/>
      <c r="L48" s="1131"/>
      <c r="M48" s="1131"/>
      <c r="N48" s="1131"/>
      <c r="O48" s="1132"/>
      <c r="P48" s="635"/>
    </row>
    <row r="49" spans="2:19" s="516" customFormat="1" ht="15" customHeight="1" x14ac:dyDescent="0.25">
      <c r="D49" s="1156"/>
      <c r="E49" s="1157"/>
      <c r="F49" s="1158"/>
      <c r="G49" s="920" t="s">
        <v>478</v>
      </c>
      <c r="H49" s="639" t="s">
        <v>89</v>
      </c>
      <c r="I49" s="640" t="s">
        <v>88</v>
      </c>
      <c r="J49" s="641" t="s">
        <v>90</v>
      </c>
      <c r="K49" s="641" t="s">
        <v>125</v>
      </c>
      <c r="L49" s="641" t="s">
        <v>126</v>
      </c>
      <c r="M49" s="642" t="s">
        <v>127</v>
      </c>
      <c r="N49" s="634"/>
      <c r="O49" s="1124"/>
      <c r="P49" s="1124"/>
      <c r="Q49" s="634"/>
    </row>
    <row r="50" spans="2:19" s="516" customFormat="1" ht="15" customHeight="1" x14ac:dyDescent="0.25">
      <c r="D50" s="1163" t="s">
        <v>836</v>
      </c>
      <c r="E50" s="1163"/>
      <c r="F50" s="1163"/>
      <c r="G50" s="921">
        <v>179</v>
      </c>
      <c r="H50" s="643">
        <v>83</v>
      </c>
      <c r="I50" s="643">
        <v>30</v>
      </c>
      <c r="J50" s="643">
        <v>6</v>
      </c>
      <c r="K50" s="643">
        <v>2</v>
      </c>
      <c r="L50" s="643">
        <v>1</v>
      </c>
      <c r="M50" s="643">
        <f>J50-K50-L50</f>
        <v>3</v>
      </c>
      <c r="N50" s="644"/>
      <c r="O50" s="1154"/>
      <c r="P50" s="1154"/>
      <c r="Q50" s="644"/>
    </row>
    <row r="51" spans="2:19" s="516" customFormat="1" ht="15" customHeight="1" x14ac:dyDescent="0.25">
      <c r="D51" s="1155" t="s">
        <v>760</v>
      </c>
      <c r="E51" s="1155"/>
      <c r="F51" s="1155"/>
      <c r="G51" s="921">
        <v>187</v>
      </c>
      <c r="H51" s="643">
        <v>108</v>
      </c>
      <c r="I51" s="643">
        <v>26</v>
      </c>
      <c r="J51" s="643">
        <f>'Weekly Traffic'!E18</f>
        <v>0</v>
      </c>
      <c r="K51" s="643">
        <f>'Weekly Traffic'!G18</f>
        <v>0</v>
      </c>
      <c r="L51" s="643">
        <f>'Weekly Traffic'!H18</f>
        <v>0</v>
      </c>
      <c r="M51" s="643">
        <f>J51-K51-L51</f>
        <v>0</v>
      </c>
      <c r="N51" s="644"/>
    </row>
    <row r="52" spans="2:19" s="922" customFormat="1" ht="15.75" customHeight="1" x14ac:dyDescent="0.25">
      <c r="C52" s="923"/>
      <c r="D52" s="1090"/>
      <c r="E52" s="925"/>
      <c r="F52" s="924" t="s">
        <v>479</v>
      </c>
      <c r="G52" s="925"/>
      <c r="H52" s="926">
        <f>IFERROR(H50/G50,0)</f>
        <v>0.46368715083798884</v>
      </c>
      <c r="I52" s="926">
        <f>IFERROR(I50/H50,0)</f>
        <v>0.36144578313253012</v>
      </c>
      <c r="J52" s="926">
        <f>IFERROR(J50/I50,0)</f>
        <v>0.2</v>
      </c>
      <c r="K52" s="926"/>
      <c r="L52" s="926"/>
      <c r="M52" s="926">
        <f>IFERROR(M50/J50,0)</f>
        <v>0.5</v>
      </c>
    </row>
    <row r="53" spans="2:19" s="516" customFormat="1" ht="15.75" customHeight="1" x14ac:dyDescent="0.25">
      <c r="C53" s="645"/>
      <c r="D53" s="645"/>
      <c r="F53" s="646" t="s">
        <v>98</v>
      </c>
      <c r="G53" s="646"/>
      <c r="H53" s="647" t="s">
        <v>147</v>
      </c>
      <c r="I53" s="647" t="s">
        <v>458</v>
      </c>
      <c r="J53" s="647" t="s">
        <v>460</v>
      </c>
      <c r="K53" s="1136" t="s">
        <v>459</v>
      </c>
      <c r="L53" s="1137"/>
      <c r="M53" s="644"/>
    </row>
    <row r="54" spans="2:19" s="516" customFormat="1" ht="14.25" x14ac:dyDescent="0.25">
      <c r="C54" s="648"/>
      <c r="D54" s="648"/>
      <c r="E54" s="649"/>
      <c r="F54" s="587"/>
      <c r="G54" s="587"/>
      <c r="H54" s="650" t="s">
        <v>462</v>
      </c>
      <c r="I54" s="650" t="s">
        <v>461</v>
      </c>
      <c r="J54" s="650" t="s">
        <v>463</v>
      </c>
      <c r="K54" s="651" t="s">
        <v>465</v>
      </c>
      <c r="L54" s="652"/>
      <c r="S54" s="653"/>
    </row>
    <row r="55" spans="2:19" s="516" customFormat="1" ht="14.25" x14ac:dyDescent="0.25">
      <c r="B55" s="1148" t="s">
        <v>194</v>
      </c>
      <c r="C55" s="1149"/>
      <c r="D55" s="1149"/>
      <c r="E55" s="1149"/>
      <c r="F55" s="1149"/>
      <c r="G55" s="1149"/>
      <c r="H55" s="1149"/>
      <c r="I55" s="1149"/>
      <c r="J55" s="1149"/>
      <c r="K55" s="1149"/>
      <c r="L55" s="1149"/>
      <c r="M55" s="1149"/>
      <c r="N55" s="1149"/>
      <c r="O55" s="1150"/>
    </row>
    <row r="56" spans="2:19" s="516" customFormat="1" ht="14.25" x14ac:dyDescent="0.25">
      <c r="B56" s="1147" t="s">
        <v>695</v>
      </c>
      <c r="C56" s="1147"/>
      <c r="D56" s="1147"/>
      <c r="E56" s="1147"/>
      <c r="F56" s="1147"/>
      <c r="G56" s="1147"/>
      <c r="H56" s="1147"/>
      <c r="I56" s="1147"/>
      <c r="J56" s="1147"/>
      <c r="K56" s="1147"/>
      <c r="L56" s="1147"/>
      <c r="M56" s="1147"/>
      <c r="N56" s="1147"/>
      <c r="O56" s="1147"/>
    </row>
    <row r="57" spans="2:19" s="516" customFormat="1" ht="14.25" x14ac:dyDescent="0.25">
      <c r="B57" s="1147"/>
      <c r="C57" s="1147"/>
      <c r="D57" s="1147"/>
      <c r="E57" s="1147"/>
      <c r="F57" s="1147"/>
      <c r="G57" s="1147"/>
      <c r="H57" s="1147"/>
      <c r="I57" s="1147"/>
      <c r="J57" s="1147"/>
      <c r="K57" s="1147"/>
      <c r="L57" s="1147"/>
      <c r="M57" s="1147"/>
      <c r="N57" s="1147"/>
      <c r="O57" s="1147"/>
    </row>
    <row r="58" spans="2:19" s="516" customFormat="1" ht="6.6" customHeight="1" x14ac:dyDescent="0.25"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</row>
    <row r="59" spans="2:19" s="516" customFormat="1" thickBot="1" x14ac:dyDescent="0.3">
      <c r="B59" s="1133" t="s">
        <v>143</v>
      </c>
      <c r="C59" s="1134"/>
      <c r="D59" s="1134"/>
      <c r="E59" s="1134"/>
      <c r="F59" s="1134"/>
      <c r="G59" s="1134"/>
      <c r="H59" s="1134"/>
      <c r="I59" s="1134"/>
      <c r="J59" s="1134"/>
      <c r="K59" s="1134"/>
      <c r="L59" s="1134"/>
      <c r="M59" s="1134"/>
      <c r="N59" s="1134"/>
      <c r="O59" s="1135"/>
      <c r="P59" s="635"/>
    </row>
    <row r="60" spans="2:19" s="516" customFormat="1" ht="14.25" x14ac:dyDescent="0.25">
      <c r="B60" s="655"/>
      <c r="C60" s="656"/>
      <c r="D60" s="657">
        <v>1</v>
      </c>
      <c r="E60" s="657">
        <v>2</v>
      </c>
      <c r="F60" s="657">
        <v>3</v>
      </c>
      <c r="G60" s="657">
        <v>4</v>
      </c>
      <c r="H60" s="657">
        <v>5</v>
      </c>
      <c r="I60" s="657">
        <v>6</v>
      </c>
      <c r="J60" s="658" t="s">
        <v>212</v>
      </c>
      <c r="K60" s="658" t="s">
        <v>761</v>
      </c>
      <c r="L60" s="1182" t="s">
        <v>194</v>
      </c>
      <c r="M60" s="1183"/>
      <c r="N60" s="1183"/>
      <c r="O60" s="1184"/>
      <c r="P60" s="659"/>
    </row>
    <row r="61" spans="2:19" s="516" customFormat="1" ht="14.25" x14ac:dyDescent="0.25">
      <c r="B61" s="1187" t="s">
        <v>33</v>
      </c>
      <c r="C61" s="1188"/>
      <c r="D61" s="660" t="s">
        <v>205</v>
      </c>
      <c r="E61" s="660" t="s">
        <v>206</v>
      </c>
      <c r="F61" s="660" t="s">
        <v>206</v>
      </c>
      <c r="G61" s="661">
        <v>45961</v>
      </c>
      <c r="H61" s="661">
        <v>45991</v>
      </c>
      <c r="I61" s="661">
        <v>46022</v>
      </c>
      <c r="J61" s="662" t="s">
        <v>215</v>
      </c>
      <c r="K61" s="662" t="s">
        <v>762</v>
      </c>
      <c r="L61" s="1138" t="s">
        <v>837</v>
      </c>
      <c r="M61" s="1139"/>
      <c r="N61" s="1139"/>
      <c r="O61" s="1140"/>
      <c r="P61" s="659"/>
    </row>
    <row r="62" spans="2:19" s="516" customFormat="1" ht="14.45" customHeight="1" x14ac:dyDescent="0.25">
      <c r="B62" s="663" t="s">
        <v>62</v>
      </c>
      <c r="C62" s="664"/>
      <c r="D62" s="665" t="str" cm="1">
        <f t="array" ref="D62">_xlfn.LET(_xlpm.fp,TRIM($B62),_xlpm.ph,D$60,_xlpm.leased,SUMPRODUCT((TRIM('Data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8 / 8</v>
      </c>
      <c r="E62" s="665" t="str" cm="1">
        <f t="array" ref="E62">_xlfn.LET(_xlpm.fp,TRIM($B62),_xlpm.ph,E$60,_xlpm.leased,SUMPRODUCT((TRIM('Data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2</v>
      </c>
      <c r="F62" s="665" t="str" cm="1">
        <f t="array" ref="F62">_xlfn.LET(_xlpm.fp,TRIM($B62),_xlpm.ph,F$60,_xlpm.leased,SUMPRODUCT((TRIM('Data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3 / 6</v>
      </c>
      <c r="G62" s="665" t="str" cm="1">
        <f t="array" ref="G62">_xlfn.LET(_xlpm.fp,TRIM($B62),_xlpm.ph,G$60,_xlpm.leased,SUMPRODUCT((TRIM('Data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5</v>
      </c>
      <c r="H62" s="665" t="str" cm="1">
        <f t="array" ref="H62">_xlfn.LET(_xlpm.fp,TRIM($B62),_xlpm.ph,H$60,_xlpm.leased,SUMPRODUCT((TRIM('Data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6</v>
      </c>
      <c r="I62" s="665" t="str" cm="1">
        <f t="array" ref="I62">_xlfn.LET(_xlpm.fp,TRIM($B62),_xlpm.ph,I$60,_xlpm.leased,SUMPRODUCT((TRIM('Data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4</v>
      </c>
      <c r="J62" s="666" t="str" cm="1">
        <f t="array" ref="J62">_xlfn.LET(_xlpm.fp, SUBSTITUTE(SUBSTITUTE($B62,CHAR(160),""),"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16 / 31</v>
      </c>
      <c r="K62" s="1025">
        <f>16/31</f>
        <v>0.5161290322580645</v>
      </c>
      <c r="L62" s="1141"/>
      <c r="M62" s="1142"/>
      <c r="N62" s="1142"/>
      <c r="O62" s="1143"/>
      <c r="P62" s="659"/>
    </row>
    <row r="63" spans="2:19" s="516" customFormat="1" ht="14.25" x14ac:dyDescent="0.25">
      <c r="B63" s="667" t="s">
        <v>65</v>
      </c>
      <c r="C63" s="668"/>
      <c r="D63" s="669" t="str" cm="1">
        <f t="array" ref="D63">_xlfn.LET(_xlpm.fp,TRIM($B63),_xlpm.ph,D$60,_xlpm.leased,SUMPRODUCT((TRIM('Data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3</v>
      </c>
      <c r="E63" s="669" t="str" cm="1">
        <f t="array" ref="E63">_xlfn.LET(_xlpm.fp,TRIM($B63),_xlpm.ph,E$60,_xlpm.leased,SUMPRODUCT((TRIM('Data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3</v>
      </c>
      <c r="F63" s="669" t="str" cm="1">
        <f t="array" ref="F63">_xlfn.LET(_xlpm.fp,TRIM($B63),_xlpm.ph,F$60,_xlpm.leased,SUMPRODUCT((TRIM('Data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3</v>
      </c>
      <c r="G63" s="669" t="str" cm="1">
        <f t="array" ref="G63">_xlfn.LET(_xlpm.fp,TRIM($B63),_xlpm.ph,G$60,_xlpm.leased,SUMPRODUCT((TRIM('Data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0 / 5</v>
      </c>
      <c r="H63" s="669" t="str" cm="1">
        <f t="array" ref="H63">_xlfn.LET(_xlpm.fp,TRIM($B63),_xlpm.ph,H$60,_xlpm.leased,SUMPRODUCT((TRIM('Data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2</v>
      </c>
      <c r="I63" s="669" t="str" cm="1">
        <f t="array" ref="I63">_xlfn.LET(_xlpm.fp,TRIM($B63),_xlpm.ph,I$60,_xlpm.leased,SUMPRODUCT((TRIM('Data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2</v>
      </c>
      <c r="J63" s="670" t="str" cm="1">
        <f t="array" ref="J63">_xlfn.LET(_xlpm.fp, SUBSTITUTE(SUBSTITUTE($B63,CHAR(160),""),"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7 / 18</v>
      </c>
      <c r="K63" s="1026">
        <f>6/18</f>
        <v>0.33333333333333331</v>
      </c>
      <c r="L63" s="1141"/>
      <c r="M63" s="1142"/>
      <c r="N63" s="1142"/>
      <c r="O63" s="1143"/>
      <c r="P63" s="659"/>
    </row>
    <row r="64" spans="2:19" s="516" customFormat="1" ht="14.25" x14ac:dyDescent="0.25">
      <c r="B64" s="671" t="s">
        <v>22</v>
      </c>
      <c r="C64" s="672"/>
      <c r="D64" s="673" t="str" cm="1">
        <f t="array" ref="D64">_xlfn.LET(_xlpm.fp,TRIM($B64),_xlpm.ph,D$60,_xlpm.leased,SUMPRODUCT((TRIM('Data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5 / 6</v>
      </c>
      <c r="E64" s="673" t="str" cm="1">
        <f t="array" ref="E64">_xlfn.LET(_xlpm.fp,TRIM($B64),_xlpm.ph,E$60,_xlpm.leased,SUMPRODUCT((TRIM('Data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2</v>
      </c>
      <c r="F64" s="673" t="str" cm="1">
        <f t="array" ref="F64">_xlfn.LET(_xlpm.fp,TRIM($B64),_xlpm.ph,F$60,_xlpm.leased,SUMPRODUCT((TRIM('Data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5 / 6</v>
      </c>
      <c r="G64" s="673" t="str" cm="1">
        <f t="array" ref="G64">_xlfn.LET(_xlpm.fp,TRIM($B64),_xlpm.ph,G$60,_xlpm.leased,SUMPRODUCT((TRIM('Data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3</v>
      </c>
      <c r="H64" s="673" t="str" cm="1">
        <f t="array" ref="H64">_xlfn.LET(_xlpm.fp,TRIM($B64),_xlpm.ph,H$60,_xlpm.leased,SUMPRODUCT((TRIM('Data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4 / 4</v>
      </c>
      <c r="I64" s="673" t="str" cm="1">
        <f t="array" ref="I64">_xlfn.LET(_xlpm.fp,TRIM($B64),_xlpm.ph,I$60,_xlpm.leased,SUMPRODUCT((TRIM('Data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3 / 4</v>
      </c>
      <c r="J64" s="674" t="str" cm="1">
        <f t="array" ref="J64">_xlfn.LET(_xlpm.fp, SUBSTITUTE(SUBSTITUTE($B64,CHAR(160),""),"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21 / 25</v>
      </c>
      <c r="K64" s="1027">
        <f>20/25</f>
        <v>0.8</v>
      </c>
      <c r="L64" s="1141"/>
      <c r="M64" s="1142"/>
      <c r="N64" s="1142"/>
      <c r="O64" s="1143"/>
      <c r="P64" s="659"/>
    </row>
    <row r="65" spans="2:24" s="516" customFormat="1" ht="14.25" x14ac:dyDescent="0.25">
      <c r="B65" s="671" t="s">
        <v>69</v>
      </c>
      <c r="C65" s="672"/>
      <c r="D65" s="673" t="str" cm="1">
        <f t="array" ref="D65">_xlfn.LET(_xlpm.fp,TRIM($B65),_xlpm.ph,D$60,_xlpm.leased,SUMPRODUCT((TRIM('Data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3</v>
      </c>
      <c r="E65" s="673" t="str" cm="1">
        <f t="array" ref="E65">_xlfn.LET(_xlpm.fp,TRIM($B65),_xlpm.ph,E$60,_xlpm.leased,SUMPRODUCT((TRIM('Data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3</v>
      </c>
      <c r="F65" s="673" t="str" cm="1">
        <f t="array" ref="F65">_xlfn.LET(_xlpm.fp,TRIM($B65),_xlpm.ph,F$60,_xlpm.leased,SUMPRODUCT((TRIM('Data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0 / 5</v>
      </c>
      <c r="G65" s="673" t="str" cm="1">
        <f t="array" ref="G65">_xlfn.LET(_xlpm.fp,TRIM($B65),_xlpm.ph,G$60,_xlpm.leased,SUMPRODUCT((TRIM('Data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2</v>
      </c>
      <c r="H65" s="673" t="str" cm="1">
        <f t="array" ref="H65">_xlfn.LET(_xlpm.fp,TRIM($B65),_xlpm.ph,H$60,_xlpm.leased,SUMPRODUCT((TRIM('Data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3</v>
      </c>
      <c r="I65" s="673" t="str" cm="1">
        <f t="array" ref="I65">_xlfn.LET(_xlpm.fp,TRIM($B65),_xlpm.ph,I$60,_xlpm.leased,SUMPRODUCT((TRIM('Data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5</v>
      </c>
      <c r="J65" s="674" t="str" cm="1">
        <f t="array" ref="J65">_xlfn.LET(_xlpm.fp, SUBSTITUTE(SUBSTITUTE($B65,CHAR(160),""),"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8 / 21</v>
      </c>
      <c r="K65" s="1027">
        <f>7/21</f>
        <v>0.33333333333333331</v>
      </c>
      <c r="L65" s="1141"/>
      <c r="M65" s="1142"/>
      <c r="N65" s="1142"/>
      <c r="O65" s="1143"/>
      <c r="P65" s="659"/>
    </row>
    <row r="66" spans="2:24" s="516" customFormat="1" ht="14.25" x14ac:dyDescent="0.25">
      <c r="B66" s="667" t="s">
        <v>71</v>
      </c>
      <c r="C66" s="672"/>
      <c r="D66" s="673" t="str" cm="1">
        <f t="array" ref="D66">_xlfn.LET(_xlpm.fp,TRIM($B66),_xlpm.ph,D$60,_xlpm.leased,SUMPRODUCT((TRIM('Data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E66" s="673" t="str" cm="1">
        <f t="array" ref="E66">_xlfn.LET(_xlpm.fp,TRIM($B66),_xlpm.ph,E$60,_xlpm.leased,SUMPRODUCT((TRIM('Data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6</v>
      </c>
      <c r="F66" s="673" t="str" cm="1">
        <f t="array" ref="F66">_xlfn.LET(_xlpm.fp,TRIM($B66),_xlpm.ph,F$60,_xlpm.leased,SUMPRODUCT((TRIM('Data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G66" s="673" t="str" cm="1">
        <f t="array" ref="G66">_xlfn.LET(_xlpm.fp,TRIM($B66),_xlpm.ph,G$60,_xlpm.leased,SUMPRODUCT((TRIM('Data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0 / 1</v>
      </c>
      <c r="H66" s="673" t="str" cm="1">
        <f t="array" ref="H66">_xlfn.LET(_xlpm.fp,TRIM($B66),_xlpm.ph,H$60,_xlpm.leased,SUMPRODUCT((TRIM('Data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1 / 4</v>
      </c>
      <c r="I66" s="673" t="str" cm="1">
        <f t="array" ref="I66">_xlfn.LET(_xlpm.fp,TRIM($B66),_xlpm.ph,I$60,_xlpm.leased,SUMPRODUCT((TRIM('Data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0 / 5</v>
      </c>
      <c r="J66" s="674" t="str" cm="1">
        <f t="array" ref="J66">_xlfn.LET(_xlpm.fp, SUBSTITUTE(SUBSTITUTE($B66,CHAR(160),""),"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3 / 16</v>
      </c>
      <c r="K66" s="1027">
        <f>3/16</f>
        <v>0.1875</v>
      </c>
      <c r="L66" s="1141"/>
      <c r="M66" s="1142"/>
      <c r="N66" s="1142"/>
      <c r="O66" s="1143"/>
      <c r="P66" s="659"/>
    </row>
    <row r="67" spans="2:24" s="516" customFormat="1" ht="14.25" x14ac:dyDescent="0.25">
      <c r="B67" s="671" t="s">
        <v>73</v>
      </c>
      <c r="C67" s="672"/>
      <c r="D67" s="673" t="str" cm="1">
        <f t="array" ref="D67">_xlfn.LET(_xlpm.fp,TRIM($B67),_xlpm.ph,D$60,_xlpm.leased,SUMPRODUCT((TRIM('Data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E67" s="673" t="str" cm="1">
        <f t="array" ref="E67">_xlfn.LET(_xlpm.fp,TRIM($B67),_xlpm.ph,E$60,_xlpm.leased,SUMPRODUCT((TRIM('Data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2 / 5</v>
      </c>
      <c r="F67" s="673" t="str" cm="1">
        <f t="array" ref="F67">_xlfn.LET(_xlpm.fp,TRIM($B67),_xlpm.ph,F$60,_xlpm.leased,SUMPRODUCT((TRIM('Data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G67" s="673" t="str" cm="1">
        <f t="array" ref="G67">_xlfn.LET(_xlpm.fp,TRIM($B67),_xlpm.ph,G$60,_xlpm.leased,SUMPRODUCT((TRIM('Data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H67" s="673" t="str" cm="1">
        <f t="array" ref="H67">_xlfn.LET(_xlpm.fp,TRIM($B67),_xlpm.ph,H$60,_xlpm.leased,SUMPRODUCT((TRIM('Data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>0 / 1</v>
      </c>
      <c r="I67" s="673" t="str" cm="1">
        <f t="array" ref="I67">_xlfn.LET(_xlpm.fp,TRIM($B67),_xlpm.ph,I$60,_xlpm.leased,SUMPRODUCT((TRIM('Data Table'!$J$2:$J$118)=_xlpm.fp)*(IFERROR(--'Data Table'!$M$2:$M$118,0)=_xlpm.ph)*('Data Table'!$P$2:$P$118&lt;&gt;"")),_xlpm.total,SUMPRODUCT((TRIM('Data Table'!$J$2:$J$118)=_xlpm.fp)*(IFERROR(--'Data Table'!$M$2:$M$118,0)=_xlpm.ph)),IF(_xlpm.total=0,"",_xlpm.leased&amp;" / "&amp;_xlpm.total))</f>
        <v/>
      </c>
      <c r="J67" s="674" t="str" cm="1">
        <f t="array" ref="J67">_xlfn.LET(_xlpm.fp, SUBSTITUTE(SUBSTITUTE($B67,CHAR(160),"")," ",""),_xlpm.g,  SUBSTITUTE(SUBSTITUTE('Data Table'!$J$2:$J$118,CHAR(160),"")," ",""),_xlpm.m,  'Data Table'!$P$2:$P$118,_xlpm.leased, SUMPRODUCT(--(_xlpm.g=_xlpm.fp), --ISNUMBER(_xlpm.m)),_xlpm.total,  SUMPRODUCT(--(_xlpm.g=_xlpm.fp)),IF(_xlpm.total=0,"", _xlpm.leased &amp; " / " &amp; _xlpm.total))</f>
        <v>2 / 6</v>
      </c>
      <c r="K67" s="1027">
        <f>2/6</f>
        <v>0.33333333333333331</v>
      </c>
      <c r="L67" s="1141"/>
      <c r="M67" s="1142"/>
      <c r="N67" s="1142"/>
      <c r="O67" s="1143"/>
      <c r="P67" s="659"/>
    </row>
    <row r="68" spans="2:24" s="516" customFormat="1" ht="15" customHeight="1" x14ac:dyDescent="0.25">
      <c r="B68" s="1185" t="s">
        <v>214</v>
      </c>
      <c r="C68" s="1186"/>
      <c r="D68" s="675" t="str" cm="1">
        <f t="array" ref="D68">_xlfn.LET(_xlpm.ph,D$60,_xlpm.j,'Data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17 / 20</v>
      </c>
      <c r="E68" s="676" t="str" cm="1">
        <f t="array" ref="E68">_xlfn.LET(_xlpm.ph,E$60,_xlpm.j,'Data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10 / 21</v>
      </c>
      <c r="F68" s="677" t="str" cm="1">
        <f t="array" ref="F68">_xlfn.LET(_xlpm.ph,F$60,_xlpm.j,'Data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10 / 20</v>
      </c>
      <c r="G68" s="676" t="str" cm="1">
        <f t="array" ref="G68">_xlfn.LET(_xlpm.ph,G$60,_xlpm.j,'Data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4 / 16</v>
      </c>
      <c r="H68" s="676" t="str" cm="1">
        <f t="array" ref="H68">_xlfn.LET(_xlpm.ph,H$60,_xlpm.j,'Data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9 / 20</v>
      </c>
      <c r="I68" s="676" t="str" cm="1">
        <f t="array" ref="I68">_xlfn.LET(_xlpm.ph,I$60,_xlpm.j,'Data Table'!$M$2:$M$118,_xlpm.m,'Data Table'!$P$2:$P$118,_xlpm.isPh,--(IFERROR(--_xlpm.j,0)=_xlpm.ph),_xlpm.leased,SUMPRODUCT(_xlpm.isPh, --ISNUMBER(_xlpm.m)),_xlpm.total, SUMPRODUCT(_xlpm.isPh),IF(_xlpm.total=0,"", _xlpm.leased &amp; " / " &amp; _xlpm.total))</f>
        <v>7 / 20</v>
      </c>
      <c r="J68" s="678" t="str" cm="1">
        <f t="array" ref="J68">_xlfn.LET(_xlpm.m,'Data Table'!$P$2:$P$118,_xlpm.leased,SUMPRODUCT(--ISNUMBER(_xlpm.m)),_xlpm.total,COUNTA('Data Table'!$J$2:$J$118),IF(_xlpm.total=0,"", _xlpm.leased &amp; " / " &amp; _xlpm.total))</f>
        <v>57 / 117</v>
      </c>
      <c r="K68" s="1028">
        <f>54/117</f>
        <v>0.46153846153846156</v>
      </c>
      <c r="L68" s="1144"/>
      <c r="M68" s="1145"/>
      <c r="N68" s="1145"/>
      <c r="O68" s="1146"/>
      <c r="P68" s="659"/>
    </row>
    <row r="69" spans="2:24" s="516" customFormat="1" ht="6.6" customHeight="1" x14ac:dyDescent="0.25">
      <c r="B69" s="679"/>
      <c r="C69" s="679"/>
      <c r="D69" s="679"/>
      <c r="E69" s="680"/>
      <c r="F69" s="681"/>
      <c r="G69" s="680"/>
      <c r="H69" s="680"/>
      <c r="I69" s="680"/>
      <c r="J69" s="680"/>
      <c r="K69" s="634"/>
      <c r="L69" s="634"/>
      <c r="M69" s="634"/>
      <c r="N69" s="634"/>
      <c r="O69" s="634"/>
      <c r="P69" s="634"/>
    </row>
    <row r="70" spans="2:24" s="682" customFormat="1" thickBot="1" x14ac:dyDescent="0.3">
      <c r="B70" s="1133" t="s">
        <v>135</v>
      </c>
      <c r="C70" s="1134"/>
      <c r="D70" s="1134"/>
      <c r="E70" s="1134"/>
      <c r="F70" s="1134"/>
      <c r="G70" s="1134"/>
      <c r="H70" s="1134"/>
      <c r="I70" s="1134"/>
      <c r="J70" s="1134"/>
      <c r="K70" s="1134"/>
      <c r="L70" s="1134"/>
      <c r="M70" s="1134"/>
      <c r="N70" s="1134"/>
      <c r="O70" s="1135"/>
      <c r="P70" s="635"/>
      <c r="R70" s="587"/>
    </row>
    <row r="71" spans="2:24" s="516" customFormat="1" ht="28.5" x14ac:dyDescent="0.25">
      <c r="B71" s="683" t="s">
        <v>33</v>
      </c>
      <c r="C71" s="684"/>
      <c r="D71" s="685" t="s">
        <v>110</v>
      </c>
      <c r="E71" s="685" t="s">
        <v>111</v>
      </c>
      <c r="F71" s="685" t="s">
        <v>112</v>
      </c>
      <c r="G71" s="685" t="s">
        <v>38</v>
      </c>
      <c r="H71" s="685" t="s">
        <v>84</v>
      </c>
      <c r="I71" s="685" t="s">
        <v>113</v>
      </c>
      <c r="J71" s="685" t="s">
        <v>114</v>
      </c>
      <c r="K71" s="685" t="s">
        <v>85</v>
      </c>
      <c r="L71" s="685" t="s">
        <v>145</v>
      </c>
      <c r="M71" s="685" t="s">
        <v>115</v>
      </c>
      <c r="N71" s="685" t="s">
        <v>116</v>
      </c>
      <c r="O71" s="686" t="s">
        <v>117</v>
      </c>
      <c r="P71" s="687"/>
      <c r="V71" s="1039"/>
    </row>
    <row r="72" spans="2:24" s="516" customFormat="1" ht="14.25" x14ac:dyDescent="0.25">
      <c r="B72" s="688" t="s">
        <v>323</v>
      </c>
      <c r="C72" s="689" t="s">
        <v>468</v>
      </c>
      <c r="D72" s="690" t="s">
        <v>64</v>
      </c>
      <c r="E72" s="690">
        <v>31</v>
      </c>
      <c r="F72" s="691">
        <v>1425</v>
      </c>
      <c r="G72" s="690">
        <f>COUNTIFS('Data Table'!$J$2:$J$118,$B72,'Data Table'!$P$2:$P$118, "&gt;0")</f>
        <v>16</v>
      </c>
      <c r="H72" s="692">
        <f>G72/E72</f>
        <v>0.5161290322580645</v>
      </c>
      <c r="I72" s="690">
        <f>COUNTIFS('Data Table'!$J$2:$J$118,$B72,'Data Table'!$O$2:$O$118,'Data Table'!$Y$5)</f>
        <v>16</v>
      </c>
      <c r="J72" s="692">
        <f>I72/E72</f>
        <v>0.5161290322580645</v>
      </c>
      <c r="K72" s="690">
        <f>E72-G72</f>
        <v>15</v>
      </c>
      <c r="L72" s="691">
        <v>2450</v>
      </c>
      <c r="M72" s="693">
        <f>L72/F72</f>
        <v>1.7192982456140351</v>
      </c>
      <c r="N72" s="900">
        <v>2240</v>
      </c>
      <c r="O72" s="901">
        <f t="shared" ref="O72:O78" si="10">N72/F72</f>
        <v>1.5719298245614035</v>
      </c>
      <c r="P72" s="694"/>
      <c r="Q72" s="1089"/>
      <c r="R72" s="695" t="s">
        <v>764</v>
      </c>
      <c r="V72" s="1039"/>
    </row>
    <row r="73" spans="2:24" s="516" customFormat="1" ht="14.25" x14ac:dyDescent="0.25">
      <c r="B73" s="696" t="s">
        <v>65</v>
      </c>
      <c r="C73" s="697" t="s">
        <v>470</v>
      </c>
      <c r="D73" s="698" t="s">
        <v>64</v>
      </c>
      <c r="E73" s="698">
        <v>18</v>
      </c>
      <c r="F73" s="699">
        <v>1635</v>
      </c>
      <c r="G73" s="698">
        <f>COUNTIFS('Data Table'!$J$2:$J$118,$B73,'Data Table'!$P$2:$P$118, "&gt;0")</f>
        <v>7</v>
      </c>
      <c r="H73" s="692">
        <f t="shared" ref="H73:H78" si="11">G73/E73</f>
        <v>0.3888888888888889</v>
      </c>
      <c r="I73" s="698">
        <f>COUNTIFS('Data Table'!$J$2:$J$118,$B73,'Data Table'!$O$2:$O$118,'Data Table'!$Y$5)</f>
        <v>7</v>
      </c>
      <c r="J73" s="692">
        <f t="shared" ref="J73:J77" si="12">I73/E73</f>
        <v>0.3888888888888889</v>
      </c>
      <c r="K73" s="690">
        <f t="shared" ref="K73:K77" si="13">E73-G73</f>
        <v>11</v>
      </c>
      <c r="L73" s="1033">
        <v>2650</v>
      </c>
      <c r="M73" s="1034">
        <f t="shared" ref="M73:M77" si="14">L73/F73</f>
        <v>1.620795107033639</v>
      </c>
      <c r="N73" s="902">
        <v>2405</v>
      </c>
      <c r="O73" s="901">
        <f t="shared" si="10"/>
        <v>1.4709480122324159</v>
      </c>
      <c r="Q73" s="1089"/>
      <c r="R73" s="695"/>
      <c r="V73" s="1039"/>
    </row>
    <row r="74" spans="2:24" s="516" customFormat="1" ht="14.25" x14ac:dyDescent="0.25">
      <c r="B74" s="688" t="s">
        <v>22</v>
      </c>
      <c r="C74" s="689" t="s">
        <v>469</v>
      </c>
      <c r="D74" s="690" t="s">
        <v>68</v>
      </c>
      <c r="E74" s="690">
        <v>25</v>
      </c>
      <c r="F74" s="691">
        <v>1685</v>
      </c>
      <c r="G74" s="690">
        <f>COUNTIFS('Data Table'!$J$2:$J$118,$B74,'Data Table'!$P$2:$P$118, "&gt;0")</f>
        <v>21</v>
      </c>
      <c r="H74" s="692">
        <f t="shared" si="11"/>
        <v>0.84</v>
      </c>
      <c r="I74" s="690">
        <f>COUNTIFS('Data Table'!$J$2:$J$118,$B74,'Data Table'!$O$2:$O$118,'Data Table'!$Y$5)</f>
        <v>20</v>
      </c>
      <c r="J74" s="692">
        <f t="shared" si="12"/>
        <v>0.8</v>
      </c>
      <c r="K74" s="690">
        <f t="shared" si="13"/>
        <v>4</v>
      </c>
      <c r="L74" s="1035">
        <v>2733</v>
      </c>
      <c r="M74" s="1034">
        <f t="shared" si="14"/>
        <v>1.6219584569732937</v>
      </c>
      <c r="N74" s="900">
        <v>2472</v>
      </c>
      <c r="O74" s="901">
        <f t="shared" si="10"/>
        <v>1.4670623145400594</v>
      </c>
      <c r="P74" s="694"/>
      <c r="Q74" s="1089"/>
      <c r="R74" s="695"/>
      <c r="V74" s="1039"/>
    </row>
    <row r="75" spans="2:24" s="516" customFormat="1" ht="14.25" x14ac:dyDescent="0.25">
      <c r="B75" s="696" t="s">
        <v>69</v>
      </c>
      <c r="C75" s="697" t="s">
        <v>471</v>
      </c>
      <c r="D75" s="698" t="s">
        <v>68</v>
      </c>
      <c r="E75" s="698">
        <v>21</v>
      </c>
      <c r="F75" s="699">
        <v>1854</v>
      </c>
      <c r="G75" s="698">
        <f>COUNTIFS('Data Table'!$J$2:$J$118,$B75,'Data Table'!$P$2:$P$118, "&gt;0")</f>
        <v>8</v>
      </c>
      <c r="H75" s="692">
        <f t="shared" si="11"/>
        <v>0.38095238095238093</v>
      </c>
      <c r="I75" s="698">
        <f>COUNTIFS('Data Table'!$J$2:$J$118,$B75,'Data Table'!$O$2:$O$118,'Data Table'!$Y$5)</f>
        <v>7</v>
      </c>
      <c r="J75" s="692">
        <f t="shared" si="12"/>
        <v>0.33333333333333331</v>
      </c>
      <c r="K75" s="690">
        <f t="shared" si="13"/>
        <v>13</v>
      </c>
      <c r="L75" s="1033">
        <v>2928</v>
      </c>
      <c r="M75" s="1034">
        <f t="shared" si="14"/>
        <v>1.5792880258899675</v>
      </c>
      <c r="N75" s="902">
        <v>2636</v>
      </c>
      <c r="O75" s="901">
        <f t="shared" si="10"/>
        <v>1.4217907227615965</v>
      </c>
      <c r="Q75" s="1089"/>
      <c r="R75" s="695"/>
      <c r="V75" s="1039"/>
    </row>
    <row r="76" spans="2:24" s="516" customFormat="1" ht="14.25" x14ac:dyDescent="0.25">
      <c r="B76" s="688" t="s">
        <v>71</v>
      </c>
      <c r="C76" s="689" t="s">
        <v>472</v>
      </c>
      <c r="D76" s="690" t="s">
        <v>68</v>
      </c>
      <c r="E76" s="690">
        <v>16</v>
      </c>
      <c r="F76" s="691">
        <v>1909</v>
      </c>
      <c r="G76" s="690">
        <f>COUNTIFS('Data Table'!$J$2:$J$118,$B76,'Data Table'!$P$2:$P$118, "&gt;0")</f>
        <v>3</v>
      </c>
      <c r="H76" s="692">
        <f t="shared" si="11"/>
        <v>0.1875</v>
      </c>
      <c r="I76" s="690">
        <f>COUNTIFS('Data Table'!$J$2:$J$118,$B76,'Data Table'!$O$2:$O$118,'Data Table'!$Y$5)</f>
        <v>3</v>
      </c>
      <c r="J76" s="692">
        <f t="shared" si="12"/>
        <v>0.1875</v>
      </c>
      <c r="K76" s="690">
        <f t="shared" si="13"/>
        <v>13</v>
      </c>
      <c r="L76" s="1035">
        <v>3150</v>
      </c>
      <c r="M76" s="1034">
        <f t="shared" si="14"/>
        <v>1.6500785751702463</v>
      </c>
      <c r="N76" s="900">
        <v>2839</v>
      </c>
      <c r="O76" s="901">
        <f t="shared" si="10"/>
        <v>1.4871660555264536</v>
      </c>
      <c r="P76" s="694"/>
      <c r="Q76" s="1089"/>
      <c r="R76" s="695"/>
      <c r="V76" s="1039"/>
    </row>
    <row r="77" spans="2:24" s="587" customFormat="1" ht="14.25" x14ac:dyDescent="0.25">
      <c r="B77" s="700" t="s">
        <v>73</v>
      </c>
      <c r="C77" s="701" t="s">
        <v>473</v>
      </c>
      <c r="D77" s="702" t="s">
        <v>75</v>
      </c>
      <c r="E77" s="702">
        <v>6</v>
      </c>
      <c r="F77" s="703">
        <v>2431</v>
      </c>
      <c r="G77" s="702">
        <f>COUNTIFS('Data Table'!$J$2:$J$118,$B77,'Data Table'!$P$2:$P$118, "&gt;0")</f>
        <v>2</v>
      </c>
      <c r="H77" s="704">
        <f t="shared" si="11"/>
        <v>0.33333333333333331</v>
      </c>
      <c r="I77" s="702">
        <f>COUNTIFS('Data Table'!$J$2:$J$118,$B77,'Data Table'!$O$2:$O$118,'Data Table'!$Y$5)</f>
        <v>2</v>
      </c>
      <c r="J77" s="704">
        <f t="shared" si="12"/>
        <v>0.33333333333333331</v>
      </c>
      <c r="K77" s="705">
        <f t="shared" si="13"/>
        <v>4</v>
      </c>
      <c r="L77" s="1036">
        <v>3600</v>
      </c>
      <c r="M77" s="1037">
        <f t="shared" si="14"/>
        <v>1.4808720691073631</v>
      </c>
      <c r="N77" s="903">
        <v>3270</v>
      </c>
      <c r="O77" s="904">
        <f t="shared" si="10"/>
        <v>1.3451254627725215</v>
      </c>
      <c r="P77" s="516"/>
      <c r="Q77" s="1089"/>
      <c r="R77" s="695"/>
      <c r="V77" s="1039"/>
    </row>
    <row r="78" spans="2:24" s="587" customFormat="1" thickBot="1" x14ac:dyDescent="0.3">
      <c r="B78" s="706" t="s">
        <v>118</v>
      </c>
      <c r="C78" s="707"/>
      <c r="D78" s="708"/>
      <c r="E78" s="708">
        <f>SUM(E72:E77)</f>
        <v>117</v>
      </c>
      <c r="F78" s="709">
        <f>SUMPRODUCT(F72:F77,E72:E77)/E78</f>
        <v>1707.6410256410256</v>
      </c>
      <c r="G78" s="708">
        <f>SUM(G72:G77)</f>
        <v>57</v>
      </c>
      <c r="H78" s="710">
        <f t="shared" si="11"/>
        <v>0.48717948717948717</v>
      </c>
      <c r="I78" s="708">
        <f>SUM(I72:I77)</f>
        <v>55</v>
      </c>
      <c r="J78" s="710">
        <f t="shared" ref="J78" si="15">I78/E78</f>
        <v>0.47008547008547008</v>
      </c>
      <c r="K78" s="711">
        <f t="shared" ref="K78" si="16">E78-G78</f>
        <v>60</v>
      </c>
      <c r="L78" s="709">
        <f>SUMPRODUCT(L72:L77,E72:E77)/E78</f>
        <v>2781.735042735043</v>
      </c>
      <c r="M78" s="712">
        <f>L78/F78</f>
        <v>1.6289928626485282</v>
      </c>
      <c r="N78" s="709">
        <f>SUMPRODUCT(N72:N77,G72:G77)/G78</f>
        <v>2468.9824561403507</v>
      </c>
      <c r="O78" s="713">
        <f t="shared" si="10"/>
        <v>1.4458439561169056</v>
      </c>
      <c r="P78" s="714"/>
      <c r="Q78" s="1089"/>
      <c r="R78" s="695"/>
      <c r="S78" s="516"/>
      <c r="V78" s="516"/>
    </row>
    <row r="79" spans="2:24" s="516" customFormat="1" ht="15" hidden="1" customHeight="1" outlineLevel="1" thickBot="1" x14ac:dyDescent="0.3">
      <c r="B79" s="1130" t="s">
        <v>130</v>
      </c>
      <c r="C79" s="1131"/>
      <c r="D79" s="1131"/>
      <c r="E79" s="1131"/>
      <c r="F79" s="1131"/>
      <c r="G79" s="1131"/>
      <c r="H79" s="1131"/>
      <c r="I79" s="1131"/>
      <c r="J79" s="1131"/>
      <c r="K79" s="1131"/>
      <c r="L79" s="1131"/>
      <c r="M79" s="1131"/>
      <c r="N79" s="1131"/>
      <c r="O79" s="1132"/>
      <c r="P79" s="715"/>
      <c r="Q79" s="1089" t="e">
        <f t="shared" ref="Q79:Q84" si="17">K79/E79</f>
        <v>#DIV/0!</v>
      </c>
      <c r="T79" s="682"/>
      <c r="W79" s="716"/>
      <c r="X79" s="717"/>
    </row>
    <row r="80" spans="2:24" s="516" customFormat="1" ht="15" hidden="1" customHeight="1" outlineLevel="1" x14ac:dyDescent="0.25">
      <c r="B80" s="718"/>
      <c r="C80" s="718"/>
      <c r="D80" s="719">
        <v>46023</v>
      </c>
      <c r="E80" s="719">
        <v>46054</v>
      </c>
      <c r="F80" s="719">
        <v>46082</v>
      </c>
      <c r="G80" s="719">
        <v>46113</v>
      </c>
      <c r="H80" s="719">
        <v>46143</v>
      </c>
      <c r="I80" s="719">
        <v>46174</v>
      </c>
      <c r="J80" s="719">
        <v>46204</v>
      </c>
      <c r="K80" s="719">
        <v>46235</v>
      </c>
      <c r="L80" s="719">
        <v>46266</v>
      </c>
      <c r="M80" s="719">
        <v>46296</v>
      </c>
      <c r="N80" s="719">
        <v>46327</v>
      </c>
      <c r="O80" s="719">
        <v>46357</v>
      </c>
      <c r="P80" s="719">
        <v>46357</v>
      </c>
      <c r="Q80" s="1089">
        <f t="shared" si="17"/>
        <v>1.0039301689321232</v>
      </c>
      <c r="T80" s="682"/>
      <c r="W80" s="716"/>
      <c r="X80" s="717"/>
    </row>
    <row r="81" spans="2:24" s="516" customFormat="1" ht="15" hidden="1" customHeight="1" outlineLevel="1" x14ac:dyDescent="0.25">
      <c r="B81" s="720" t="s">
        <v>132</v>
      </c>
      <c r="C81" s="720"/>
      <c r="D81" s="721"/>
      <c r="E81" s="721"/>
      <c r="F81" s="722"/>
      <c r="G81" s="723"/>
      <c r="H81" s="723"/>
      <c r="I81" s="720"/>
      <c r="J81" s="720"/>
      <c r="K81" s="720"/>
      <c r="L81" s="720"/>
      <c r="M81" s="720"/>
      <c r="N81" s="720"/>
      <c r="O81" s="720"/>
      <c r="P81" s="720"/>
      <c r="Q81" s="1089" t="e">
        <f t="shared" si="17"/>
        <v>#DIV/0!</v>
      </c>
      <c r="T81" s="682"/>
      <c r="W81" s="716"/>
      <c r="X81" s="717"/>
    </row>
    <row r="82" spans="2:24" s="516" customFormat="1" hidden="1" outlineLevel="1" thickTop="1" x14ac:dyDescent="0.25">
      <c r="B82" s="720" t="s">
        <v>121</v>
      </c>
      <c r="C82" s="720"/>
      <c r="D82" s="721"/>
      <c r="E82" s="721"/>
      <c r="F82" s="722"/>
      <c r="G82" s="723"/>
      <c r="H82" s="723"/>
      <c r="I82" s="720"/>
      <c r="J82" s="720"/>
      <c r="K82" s="720"/>
      <c r="L82" s="720"/>
      <c r="M82" s="720"/>
      <c r="N82" s="720"/>
      <c r="O82" s="720"/>
      <c r="P82" s="720"/>
      <c r="Q82" s="1089" t="e">
        <f t="shared" si="17"/>
        <v>#DIV/0!</v>
      </c>
      <c r="T82" s="653"/>
      <c r="U82" s="653"/>
      <c r="W82" s="653"/>
      <c r="X82" s="653"/>
    </row>
    <row r="83" spans="2:24" s="516" customFormat="1" hidden="1" outlineLevel="1" thickTop="1" x14ac:dyDescent="0.25">
      <c r="B83" s="720" t="s">
        <v>133</v>
      </c>
      <c r="C83" s="720"/>
      <c r="D83" s="721"/>
      <c r="E83" s="721"/>
      <c r="F83" s="722"/>
      <c r="G83" s="723"/>
      <c r="H83" s="723"/>
      <c r="I83" s="720"/>
      <c r="J83" s="720"/>
      <c r="K83" s="720"/>
      <c r="L83" s="720"/>
      <c r="M83" s="720"/>
      <c r="N83" s="720"/>
      <c r="O83" s="720"/>
      <c r="P83" s="720"/>
      <c r="Q83" s="1089" t="e">
        <f t="shared" si="17"/>
        <v>#DIV/0!</v>
      </c>
      <c r="T83" s="653"/>
      <c r="U83" s="653"/>
      <c r="W83" s="653"/>
      <c r="X83" s="653"/>
    </row>
    <row r="84" spans="2:24" s="516" customFormat="1" hidden="1" outlineLevel="1" thickTop="1" x14ac:dyDescent="0.25">
      <c r="B84" s="724" t="s">
        <v>134</v>
      </c>
      <c r="C84" s="724"/>
      <c r="D84" s="725"/>
      <c r="E84" s="725"/>
      <c r="F84" s="726"/>
      <c r="G84" s="727"/>
      <c r="H84" s="727"/>
      <c r="I84" s="724"/>
      <c r="J84" s="724"/>
      <c r="K84" s="724"/>
      <c r="L84" s="724"/>
      <c r="M84" s="724"/>
      <c r="N84" s="724"/>
      <c r="O84" s="724"/>
      <c r="P84" s="724"/>
      <c r="Q84" s="1089" t="e">
        <f t="shared" si="17"/>
        <v>#DIV/0!</v>
      </c>
      <c r="T84" s="653"/>
      <c r="U84" s="653"/>
      <c r="W84" s="653"/>
      <c r="X84" s="653"/>
    </row>
    <row r="85" spans="2:24" s="516" customFormat="1" ht="6.95" customHeight="1" collapsed="1" thickTop="1" x14ac:dyDescent="0.25">
      <c r="D85" s="728"/>
      <c r="E85" s="728"/>
      <c r="F85" s="729"/>
      <c r="G85" s="653"/>
      <c r="H85" s="653"/>
      <c r="T85" s="653"/>
      <c r="U85" s="653"/>
      <c r="W85" s="653"/>
      <c r="X85" s="653"/>
    </row>
    <row r="86" spans="2:24" s="516" customFormat="1" thickBot="1" x14ac:dyDescent="0.3">
      <c r="B86" s="1133" t="s">
        <v>815</v>
      </c>
      <c r="C86" s="1134"/>
      <c r="D86" s="1134"/>
      <c r="E86" s="1134"/>
      <c r="F86" s="1134"/>
      <c r="G86" s="1134"/>
      <c r="H86" s="1134"/>
      <c r="I86" s="1134"/>
      <c r="J86" s="1134"/>
      <c r="K86" s="1134"/>
      <c r="L86" s="1134"/>
      <c r="M86" s="1134"/>
      <c r="N86" s="1134"/>
      <c r="O86" s="1134"/>
      <c r="P86" s="715"/>
      <c r="T86" s="653"/>
      <c r="U86" s="653"/>
      <c r="V86" s="653"/>
      <c r="W86" s="653"/>
      <c r="X86" s="653"/>
    </row>
    <row r="87" spans="2:24" s="516" customFormat="1" ht="14.25" x14ac:dyDescent="0.25">
      <c r="B87" s="1169" t="s">
        <v>93</v>
      </c>
      <c r="C87" s="1169"/>
      <c r="D87" s="1169"/>
      <c r="E87" s="1169"/>
      <c r="F87" s="1169"/>
      <c r="G87" s="1169"/>
      <c r="H87" s="1169"/>
      <c r="I87" s="1169"/>
      <c r="J87" s="1169"/>
      <c r="K87" s="1169"/>
      <c r="L87" s="1169"/>
      <c r="M87" s="1169"/>
      <c r="N87" s="1169"/>
      <c r="O87" s="1169"/>
      <c r="P87" s="730"/>
      <c r="T87" s="653"/>
      <c r="U87" s="653"/>
      <c r="V87" s="653"/>
      <c r="W87" s="653"/>
      <c r="X87" s="653"/>
    </row>
    <row r="88" spans="2:24" s="516" customFormat="1" ht="14.25" x14ac:dyDescent="0.25">
      <c r="B88" s="731"/>
      <c r="C88" s="732"/>
      <c r="D88" s="733">
        <v>46023</v>
      </c>
      <c r="E88" s="733">
        <v>46054</v>
      </c>
      <c r="F88" s="733">
        <v>46082</v>
      </c>
      <c r="G88" s="733">
        <v>46113</v>
      </c>
      <c r="H88" s="733">
        <v>46143</v>
      </c>
      <c r="I88" s="733">
        <v>46174</v>
      </c>
      <c r="J88" s="733">
        <v>46204</v>
      </c>
      <c r="K88" s="733">
        <v>46235</v>
      </c>
      <c r="L88" s="733">
        <v>46266</v>
      </c>
      <c r="M88" s="733">
        <v>46296</v>
      </c>
      <c r="N88" s="733">
        <v>46327</v>
      </c>
      <c r="O88" s="734">
        <v>46357</v>
      </c>
      <c r="P88" s="735"/>
      <c r="T88" s="653"/>
      <c r="U88" s="653"/>
      <c r="V88" s="653"/>
      <c r="W88" s="653"/>
      <c r="X88" s="653"/>
    </row>
    <row r="89" spans="2:24" s="516" customFormat="1" ht="14.1" customHeight="1" x14ac:dyDescent="0.25">
      <c r="B89" s="736" t="s">
        <v>140</v>
      </c>
      <c r="C89" s="737"/>
      <c r="D89" s="644">
        <v>43</v>
      </c>
      <c r="E89" s="644">
        <v>26</v>
      </c>
      <c r="F89" s="1075">
        <v>36</v>
      </c>
      <c r="G89" s="1076"/>
      <c r="H89" s="1076"/>
      <c r="I89" s="1076"/>
      <c r="J89" s="1076"/>
      <c r="K89" s="1076"/>
      <c r="L89" s="1076"/>
      <c r="M89" s="1076"/>
      <c r="N89" s="1076"/>
      <c r="O89" s="1077"/>
      <c r="T89" s="653"/>
      <c r="U89" s="653"/>
      <c r="V89" s="653"/>
      <c r="W89" s="653"/>
      <c r="X89" s="653"/>
    </row>
    <row r="90" spans="2:24" s="516" customFormat="1" ht="14.1" customHeight="1" x14ac:dyDescent="0.25">
      <c r="B90" s="738" t="s">
        <v>141</v>
      </c>
      <c r="D90" s="644">
        <v>6</v>
      </c>
      <c r="E90" s="644">
        <v>4</v>
      </c>
      <c r="F90" s="1075">
        <v>0</v>
      </c>
      <c r="G90" s="1075"/>
      <c r="H90" s="1075"/>
      <c r="I90" s="1075"/>
      <c r="J90" s="1075"/>
      <c r="K90" s="1075"/>
      <c r="L90" s="1075"/>
      <c r="M90" s="1075"/>
      <c r="N90" s="1075"/>
      <c r="O90" s="1078"/>
      <c r="T90" s="653"/>
      <c r="U90" s="653"/>
      <c r="V90" s="653"/>
      <c r="W90" s="653"/>
      <c r="X90" s="653"/>
    </row>
    <row r="91" spans="2:24" s="516" customFormat="1" ht="14.1" customHeight="1" x14ac:dyDescent="0.25">
      <c r="B91" s="738" t="s">
        <v>142</v>
      </c>
      <c r="D91" s="644">
        <v>13</v>
      </c>
      <c r="E91" s="644">
        <v>0</v>
      </c>
      <c r="F91" s="1075">
        <v>17</v>
      </c>
      <c r="G91" s="1075"/>
      <c r="H91" s="1075"/>
      <c r="I91" s="1075"/>
      <c r="J91" s="1075"/>
      <c r="K91" s="1075"/>
      <c r="L91" s="1075"/>
      <c r="M91" s="1075"/>
      <c r="N91" s="1075"/>
      <c r="O91" s="1078"/>
      <c r="T91" s="653"/>
      <c r="U91" s="653"/>
      <c r="V91" s="653"/>
      <c r="W91" s="653"/>
      <c r="X91" s="653"/>
    </row>
    <row r="92" spans="2:24" s="516" customFormat="1" ht="14.1" customHeight="1" x14ac:dyDescent="0.25">
      <c r="B92" s="738" t="s">
        <v>94</v>
      </c>
      <c r="D92" s="644">
        <v>50</v>
      </c>
      <c r="E92" s="644">
        <v>27</v>
      </c>
      <c r="F92" s="1075">
        <v>29</v>
      </c>
      <c r="G92" s="1075"/>
      <c r="H92" s="1075"/>
      <c r="I92" s="1075"/>
      <c r="J92" s="1075"/>
      <c r="K92" s="1075"/>
      <c r="L92" s="1075"/>
      <c r="M92" s="1075"/>
      <c r="N92" s="1075"/>
      <c r="O92" s="1078"/>
      <c r="T92" s="653"/>
      <c r="U92" s="653"/>
      <c r="V92" s="653"/>
      <c r="W92" s="653"/>
      <c r="X92" s="653"/>
    </row>
    <row r="93" spans="2:24" s="516" customFormat="1" ht="14.1" customHeight="1" x14ac:dyDescent="0.25">
      <c r="B93" s="738" t="s">
        <v>95</v>
      </c>
      <c r="D93" s="644">
        <v>8</v>
      </c>
      <c r="E93" s="644">
        <v>6</v>
      </c>
      <c r="F93" s="1075">
        <v>10</v>
      </c>
      <c r="G93" s="1075"/>
      <c r="H93" s="1075"/>
      <c r="I93" s="1075"/>
      <c r="J93" s="1075"/>
      <c r="K93" s="1075"/>
      <c r="L93" s="1075"/>
      <c r="M93" s="1075"/>
      <c r="N93" s="1075"/>
      <c r="O93" s="1078"/>
      <c r="T93" s="653"/>
      <c r="U93" s="653"/>
      <c r="V93" s="653"/>
      <c r="W93" s="653"/>
      <c r="X93" s="653"/>
    </row>
    <row r="94" spans="2:24" s="516" customFormat="1" ht="14.1" customHeight="1" x14ac:dyDescent="0.25">
      <c r="B94" s="739" t="s">
        <v>96</v>
      </c>
      <c r="C94" s="740"/>
      <c r="D94" s="940">
        <v>77</v>
      </c>
      <c r="E94" s="940">
        <v>89</v>
      </c>
      <c r="F94" s="1079">
        <v>62</v>
      </c>
      <c r="G94" s="1079"/>
      <c r="H94" s="1079"/>
      <c r="I94" s="1079"/>
      <c r="J94" s="1079"/>
      <c r="K94" s="1079"/>
      <c r="L94" s="1079"/>
      <c r="M94" s="1079"/>
      <c r="N94" s="1079"/>
      <c r="O94" s="1080"/>
      <c r="T94" s="653"/>
      <c r="U94" s="653"/>
      <c r="V94" s="653"/>
      <c r="W94" s="653"/>
      <c r="X94" s="653"/>
    </row>
    <row r="95" spans="2:24" s="516" customFormat="1" ht="14.1" customHeight="1" x14ac:dyDescent="0.25">
      <c r="B95" s="1166" t="s">
        <v>194</v>
      </c>
      <c r="C95" s="1167"/>
      <c r="D95" s="1167"/>
      <c r="E95" s="1167"/>
      <c r="F95" s="1167"/>
      <c r="G95" s="1167"/>
      <c r="H95" s="1167"/>
      <c r="I95" s="1167"/>
      <c r="J95" s="1167"/>
      <c r="K95" s="1167"/>
      <c r="L95" s="1167"/>
      <c r="M95" s="1167"/>
      <c r="N95" s="1167"/>
      <c r="O95" s="1167"/>
      <c r="P95" s="1168"/>
      <c r="T95" s="653"/>
      <c r="U95" s="653"/>
      <c r="V95" s="741"/>
      <c r="W95" s="741"/>
      <c r="X95" s="741"/>
    </row>
    <row r="96" spans="2:24" s="516" customFormat="1" ht="14.25" x14ac:dyDescent="0.25">
      <c r="B96" s="1173" t="s">
        <v>823</v>
      </c>
      <c r="C96" s="1174"/>
      <c r="D96" s="1174"/>
      <c r="E96" s="1174"/>
      <c r="F96" s="1174"/>
      <c r="G96" s="1174"/>
      <c r="H96" s="1174"/>
      <c r="I96" s="1174"/>
      <c r="J96" s="1174"/>
      <c r="K96" s="1174"/>
      <c r="L96" s="1174"/>
      <c r="M96" s="1174"/>
      <c r="N96" s="1174"/>
      <c r="O96" s="1175"/>
      <c r="P96" s="742"/>
      <c r="T96" s="653"/>
      <c r="U96" s="653"/>
      <c r="V96" s="653"/>
    </row>
    <row r="97" spans="2:16" s="516" customFormat="1" ht="14.25" x14ac:dyDescent="0.25">
      <c r="B97" s="1176"/>
      <c r="C97" s="1177"/>
      <c r="D97" s="1177"/>
      <c r="E97" s="1177"/>
      <c r="F97" s="1177"/>
      <c r="G97" s="1177"/>
      <c r="H97" s="1177"/>
      <c r="I97" s="1177"/>
      <c r="J97" s="1177"/>
      <c r="K97" s="1177"/>
      <c r="L97" s="1177"/>
      <c r="M97" s="1177"/>
      <c r="N97" s="1177"/>
      <c r="O97" s="1178"/>
      <c r="P97" s="742"/>
    </row>
    <row r="98" spans="2:16" s="516" customFormat="1" ht="55.5" customHeight="1" x14ac:dyDescent="0.25">
      <c r="B98" s="1179"/>
      <c r="C98" s="1180"/>
      <c r="D98" s="1180"/>
      <c r="E98" s="1180"/>
      <c r="F98" s="1180"/>
      <c r="G98" s="1180"/>
      <c r="H98" s="1180"/>
      <c r="I98" s="1180"/>
      <c r="J98" s="1180"/>
      <c r="K98" s="1180"/>
      <c r="L98" s="1180"/>
      <c r="M98" s="1180"/>
      <c r="N98" s="1180"/>
      <c r="O98" s="1181"/>
      <c r="P98" s="742"/>
    </row>
    <row r="99" spans="2:16" s="516" customFormat="1" ht="6.95" customHeight="1" x14ac:dyDescent="0.25">
      <c r="B99" s="653"/>
      <c r="C99" s="653"/>
      <c r="D99" s="743"/>
      <c r="E99" s="744"/>
      <c r="F99" s="743"/>
      <c r="G99" s="744"/>
    </row>
    <row r="100" spans="2:16" s="516" customFormat="1" ht="14.25" x14ac:dyDescent="0.25">
      <c r="B100" s="1170" t="s">
        <v>814</v>
      </c>
      <c r="C100" s="1171"/>
      <c r="D100" s="1171"/>
      <c r="E100" s="1171"/>
      <c r="F100" s="1171"/>
      <c r="G100" s="1171"/>
      <c r="H100" s="1171"/>
      <c r="I100" s="1171"/>
      <c r="J100" s="1171"/>
      <c r="K100" s="1171"/>
      <c r="L100" s="1171"/>
      <c r="M100" s="1171"/>
      <c r="N100" s="1171"/>
      <c r="O100" s="1172"/>
      <c r="P100" s="730"/>
    </row>
    <row r="101" spans="2:16" s="516" customFormat="1" ht="14.25" x14ac:dyDescent="0.25">
      <c r="B101" s="1164" t="s">
        <v>825</v>
      </c>
      <c r="C101" s="1165"/>
      <c r="D101" s="1165"/>
      <c r="E101" s="1165"/>
      <c r="F101" s="1165"/>
      <c r="G101" s="1165"/>
      <c r="H101" s="494" t="s">
        <v>486</v>
      </c>
      <c r="I101" s="494"/>
      <c r="J101" s="494"/>
      <c r="K101" s="494"/>
      <c r="L101" s="494"/>
      <c r="M101" s="494"/>
      <c r="N101" s="494"/>
      <c r="O101" s="495"/>
      <c r="P101" s="745"/>
    </row>
    <row r="102" spans="2:16" s="516" customFormat="1" ht="14.25" customHeight="1" x14ac:dyDescent="0.25">
      <c r="B102" s="1030" t="s">
        <v>826</v>
      </c>
      <c r="C102" s="1031"/>
      <c r="D102" s="1029"/>
      <c r="E102" s="1029"/>
      <c r="F102" s="1032"/>
      <c r="G102" s="1032"/>
      <c r="H102" s="1118" t="s">
        <v>768</v>
      </c>
      <c r="I102" s="1118"/>
      <c r="J102" s="1118"/>
      <c r="K102" s="1118"/>
      <c r="L102" s="1084"/>
      <c r="M102" s="1084"/>
      <c r="N102" s="1084"/>
      <c r="O102" s="1085"/>
      <c r="P102" s="745"/>
    </row>
    <row r="103" spans="2:16" s="516" customFormat="1" ht="14.25" x14ac:dyDescent="0.25">
      <c r="B103" s="1030" t="s">
        <v>827</v>
      </c>
      <c r="C103" s="1031"/>
      <c r="D103" s="1029"/>
      <c r="E103" s="1029"/>
      <c r="F103" s="1032"/>
      <c r="G103" s="1032"/>
      <c r="H103" s="1118"/>
      <c r="I103" s="1118"/>
      <c r="J103" s="1118"/>
      <c r="K103" s="1118"/>
      <c r="L103" s="1084"/>
      <c r="M103" s="1084"/>
      <c r="N103" s="1084"/>
      <c r="O103" s="1085"/>
      <c r="P103" s="745"/>
    </row>
    <row r="104" spans="2:16" s="516" customFormat="1" ht="14.25" x14ac:dyDescent="0.25">
      <c r="B104" s="1030" t="s">
        <v>828</v>
      </c>
      <c r="C104" s="1031"/>
      <c r="D104" s="1029"/>
      <c r="E104" s="1029"/>
      <c r="F104" s="1032"/>
      <c r="G104" s="1032"/>
      <c r="H104" s="1118"/>
      <c r="I104" s="1118"/>
      <c r="J104" s="1118"/>
      <c r="K104" s="1118"/>
      <c r="L104" s="1084"/>
      <c r="M104" s="1084"/>
      <c r="N104" s="1084"/>
      <c r="O104" s="1085"/>
      <c r="P104" s="745"/>
    </row>
    <row r="105" spans="2:16" s="516" customFormat="1" ht="14.25" customHeight="1" x14ac:dyDescent="0.25">
      <c r="B105" s="1082" t="s">
        <v>829</v>
      </c>
      <c r="C105" s="1083"/>
      <c r="D105" s="1083"/>
      <c r="E105" s="1083"/>
      <c r="F105" s="1081"/>
      <c r="G105" s="1081"/>
      <c r="H105" s="1118"/>
      <c r="I105" s="1118"/>
      <c r="J105" s="1118"/>
      <c r="K105" s="1118"/>
      <c r="L105" s="1084"/>
      <c r="M105" s="1084"/>
      <c r="N105" s="1084"/>
      <c r="O105" s="1085"/>
      <c r="P105" s="745"/>
    </row>
    <row r="106" spans="2:16" s="516" customFormat="1" ht="14.25" x14ac:dyDescent="0.25">
      <c r="B106" s="1082" t="s">
        <v>824</v>
      </c>
      <c r="C106" s="1081"/>
      <c r="D106" s="1081"/>
      <c r="E106" s="1081"/>
      <c r="F106" s="1081"/>
      <c r="G106" s="1081"/>
      <c r="H106" s="1084"/>
      <c r="I106" s="1084"/>
      <c r="J106" s="1084"/>
      <c r="K106" s="1084"/>
      <c r="L106" s="1084"/>
      <c r="M106" s="1084"/>
      <c r="N106" s="1084"/>
      <c r="O106" s="1085"/>
      <c r="P106" s="745"/>
    </row>
    <row r="107" spans="2:16" s="516" customFormat="1" ht="14.25" x14ac:dyDescent="0.25">
      <c r="B107" s="1119" t="s">
        <v>830</v>
      </c>
      <c r="C107" s="1120"/>
      <c r="D107" s="1120"/>
      <c r="E107" s="1120"/>
      <c r="F107" s="1120"/>
      <c r="G107" s="1120"/>
      <c r="H107" s="1120"/>
      <c r="I107" s="1120"/>
      <c r="J107" s="1120"/>
      <c r="K107" s="1120"/>
      <c r="L107" s="1120"/>
      <c r="M107" s="1120"/>
      <c r="N107" s="1120"/>
      <c r="O107" s="1121"/>
      <c r="P107" s="745"/>
    </row>
    <row r="108" spans="2:16" s="516" customFormat="1" ht="14.25" x14ac:dyDescent="0.25">
      <c r="B108" s="1119"/>
      <c r="C108" s="1120"/>
      <c r="D108" s="1120"/>
      <c r="E108" s="1120"/>
      <c r="F108" s="1120"/>
      <c r="G108" s="1120"/>
      <c r="H108" s="1120"/>
      <c r="I108" s="1120"/>
      <c r="J108" s="1120"/>
      <c r="K108" s="1120"/>
      <c r="L108" s="1120"/>
      <c r="M108" s="1120"/>
      <c r="N108" s="1120"/>
      <c r="O108" s="1121"/>
      <c r="P108" s="745"/>
    </row>
    <row r="109" spans="2:16" ht="31.5" customHeight="1" x14ac:dyDescent="0.25">
      <c r="B109" s="1161" t="s">
        <v>696</v>
      </c>
      <c r="C109" s="1162"/>
      <c r="D109" s="1162"/>
      <c r="E109" s="1162"/>
      <c r="F109" s="1162"/>
      <c r="G109" s="1162"/>
      <c r="H109" s="1084"/>
      <c r="I109" s="1084"/>
      <c r="J109" s="1084"/>
      <c r="K109" s="1084"/>
      <c r="L109" s="1084"/>
      <c r="M109" s="1084"/>
      <c r="N109" s="1084"/>
      <c r="O109" s="1085"/>
      <c r="P109" s="746"/>
    </row>
    <row r="110" spans="2:16" ht="14.25" customHeight="1" x14ac:dyDescent="0.25">
      <c r="B110" s="929" t="s">
        <v>763</v>
      </c>
      <c r="C110" s="928"/>
      <c r="D110" s="928"/>
      <c r="E110" s="928"/>
      <c r="F110" s="928"/>
      <c r="G110" s="928"/>
      <c r="H110" s="927"/>
      <c r="I110" s="927"/>
      <c r="J110" s="927"/>
      <c r="K110" s="927"/>
      <c r="L110" s="927"/>
      <c r="M110" s="927"/>
      <c r="N110" s="927"/>
      <c r="O110" s="898"/>
      <c r="P110" s="746"/>
    </row>
    <row r="111" spans="2:16" x14ac:dyDescent="0.25">
      <c r="B111" s="930" t="s">
        <v>697</v>
      </c>
      <c r="C111" s="159"/>
      <c r="D111" s="747"/>
      <c r="E111" s="747"/>
      <c r="F111" s="931"/>
      <c r="G111" s="931"/>
      <c r="H111" s="932"/>
      <c r="I111" s="932"/>
      <c r="J111" s="931"/>
      <c r="K111" s="931"/>
      <c r="L111" s="746"/>
      <c r="M111" s="746"/>
      <c r="N111" s="746"/>
      <c r="O111" s="933"/>
      <c r="P111" s="746"/>
    </row>
    <row r="112" spans="2:16" x14ac:dyDescent="0.25">
      <c r="B112" s="997" t="s">
        <v>811</v>
      </c>
      <c r="C112" s="159"/>
      <c r="D112" s="747"/>
      <c r="E112" s="747"/>
      <c r="F112" s="931"/>
      <c r="G112" s="931"/>
      <c r="H112" s="932"/>
      <c r="I112" s="932"/>
      <c r="J112" s="931"/>
      <c r="K112" s="931"/>
      <c r="L112" s="746"/>
      <c r="M112" s="746"/>
      <c r="N112" s="746"/>
      <c r="O112" s="933"/>
      <c r="P112" s="746"/>
    </row>
    <row r="113" spans="2:15" x14ac:dyDescent="0.25">
      <c r="B113" s="998"/>
      <c r="C113" s="934"/>
      <c r="D113" s="935"/>
      <c r="E113" s="935"/>
      <c r="F113" s="935"/>
      <c r="G113" s="935"/>
      <c r="H113" s="935"/>
      <c r="I113" s="935"/>
      <c r="J113" s="935"/>
      <c r="K113" s="935"/>
      <c r="L113" s="935"/>
      <c r="M113" s="935"/>
      <c r="N113" s="935"/>
      <c r="O113" s="936"/>
    </row>
    <row r="114" spans="2:15" ht="17.25" x14ac:dyDescent="0.3">
      <c r="B114" s="841"/>
    </row>
    <row r="116" spans="2:15" x14ac:dyDescent="0.25">
      <c r="B116" s="1159" t="s">
        <v>485</v>
      </c>
      <c r="C116" s="1159"/>
      <c r="D116" s="1159"/>
      <c r="E116" s="1159"/>
      <c r="F116" s="1159"/>
      <c r="G116" s="1159"/>
      <c r="H116" s="1159"/>
      <c r="I116" s="1159"/>
      <c r="J116" s="1159"/>
      <c r="K116" s="1159"/>
      <c r="L116" s="1159"/>
      <c r="M116" s="1159"/>
      <c r="N116" s="1159"/>
      <c r="O116" s="1159"/>
    </row>
    <row r="117" spans="2:15" x14ac:dyDescent="0.25">
      <c r="B117" s="1159"/>
      <c r="C117" s="1159"/>
      <c r="D117" s="1159"/>
      <c r="E117" s="1159"/>
      <c r="F117" s="1159"/>
      <c r="G117" s="1159"/>
      <c r="H117" s="1159"/>
      <c r="I117" s="1159"/>
      <c r="J117" s="1159"/>
      <c r="K117" s="1159"/>
      <c r="L117" s="1159"/>
      <c r="M117" s="1159"/>
      <c r="N117" s="1159"/>
      <c r="O117" s="1159"/>
    </row>
    <row r="118" spans="2:15" x14ac:dyDescent="0.25">
      <c r="B118" s="1160"/>
      <c r="C118" s="1160"/>
      <c r="D118" s="1160"/>
      <c r="E118" s="1160"/>
      <c r="F118" s="1160"/>
      <c r="G118" s="1160"/>
      <c r="H118" s="1160"/>
      <c r="I118" s="1160"/>
      <c r="J118" s="1160"/>
      <c r="K118" s="1160"/>
      <c r="L118" s="1160"/>
      <c r="M118" s="1160"/>
      <c r="N118" s="1160"/>
      <c r="O118" s="1160"/>
    </row>
    <row r="119" spans="2:15" x14ac:dyDescent="0.25">
      <c r="B119" s="1160"/>
      <c r="C119" s="1160"/>
      <c r="D119" s="1160"/>
      <c r="E119" s="1160"/>
      <c r="F119" s="1160"/>
      <c r="G119" s="1160"/>
      <c r="H119" s="1160"/>
      <c r="I119" s="1160"/>
      <c r="J119" s="1160"/>
      <c r="K119" s="1160"/>
      <c r="L119" s="1160"/>
      <c r="M119" s="1160"/>
      <c r="N119" s="1160"/>
      <c r="O119" s="1160"/>
    </row>
  </sheetData>
  <mergeCells count="47">
    <mergeCell ref="B116:O117"/>
    <mergeCell ref="B118:O119"/>
    <mergeCell ref="B109:G109"/>
    <mergeCell ref="K7:L7"/>
    <mergeCell ref="D50:F50"/>
    <mergeCell ref="B101:G101"/>
    <mergeCell ref="B95:P95"/>
    <mergeCell ref="B87:O87"/>
    <mergeCell ref="B100:O100"/>
    <mergeCell ref="B96:O98"/>
    <mergeCell ref="B70:O70"/>
    <mergeCell ref="B79:O79"/>
    <mergeCell ref="B86:O86"/>
    <mergeCell ref="L60:O60"/>
    <mergeCell ref="B68:C68"/>
    <mergeCell ref="B61:C61"/>
    <mergeCell ref="B59:O59"/>
    <mergeCell ref="K53:L53"/>
    <mergeCell ref="L61:O68"/>
    <mergeCell ref="B56:O57"/>
    <mergeCell ref="K4:L5"/>
    <mergeCell ref="K6:L6"/>
    <mergeCell ref="E6:F6"/>
    <mergeCell ref="B7:C7"/>
    <mergeCell ref="B55:O55"/>
    <mergeCell ref="B31:O31"/>
    <mergeCell ref="B35:O35"/>
    <mergeCell ref="B48:O48"/>
    <mergeCell ref="O50:P50"/>
    <mergeCell ref="D51:F51"/>
    <mergeCell ref="D49:F49"/>
    <mergeCell ref="H102:K105"/>
    <mergeCell ref="B107:O108"/>
    <mergeCell ref="B1:O1"/>
    <mergeCell ref="B2:O2"/>
    <mergeCell ref="O49:P49"/>
    <mergeCell ref="H4:I5"/>
    <mergeCell ref="H6:I6"/>
    <mergeCell ref="H7:I7"/>
    <mergeCell ref="N4:O5"/>
    <mergeCell ref="N6:O6"/>
    <mergeCell ref="N7:O7"/>
    <mergeCell ref="B4:C5"/>
    <mergeCell ref="B6:C6"/>
    <mergeCell ref="E4:F5"/>
    <mergeCell ref="B9:O9"/>
    <mergeCell ref="E7:F7"/>
  </mergeCells>
  <conditionalFormatting sqref="D19">
    <cfRule type="cellIs" dxfId="22" priority="2" operator="greaterThanOrEqual">
      <formula>$D$14</formula>
    </cfRule>
  </conditionalFormatting>
  <conditionalFormatting sqref="D47:P47">
    <cfRule type="cellIs" dxfId="18" priority="13" operator="lessThan">
      <formula>0</formula>
    </cfRule>
    <cfRule type="cellIs" dxfId="17" priority="14" operator="greaterThan">
      <formula>0</formula>
    </cfRule>
  </conditionalFormatting>
  <conditionalFormatting sqref="E19">
    <cfRule type="cellIs" dxfId="16" priority="3" operator="greaterThanOrEqual">
      <formula>$E$14</formula>
    </cfRule>
    <cfRule type="cellIs" dxfId="15" priority="4" operator="greaterThan">
      <formula>$E$14</formula>
    </cfRule>
  </conditionalFormatting>
  <conditionalFormatting sqref="F19">
    <cfRule type="cellIs" dxfId="14" priority="6" operator="greaterThan">
      <formula>$F$14</formula>
    </cfRule>
  </conditionalFormatting>
  <conditionalFormatting sqref="G19">
    <cfRule type="cellIs" dxfId="13" priority="1" operator="lessThanOrEqual">
      <formula>$G$14</formula>
    </cfRule>
  </conditionalFormatting>
  <conditionalFormatting sqref="H72:H77">
    <cfRule type="cellIs" dxfId="12" priority="7" operator="greaterThan">
      <formula>0.5</formula>
    </cfRule>
  </conditionalFormatting>
  <conditionalFormatting sqref="J72:J77">
    <cfRule type="cellIs" dxfId="11" priority="8" operator="greaterThan">
      <formula>0.5</formula>
    </cfRule>
    <cfRule type="cellIs" dxfId="10" priority="9" operator="greaterThan">
      <formula>0.5</formula>
    </cfRule>
  </conditionalFormatting>
  <printOptions horizontalCentered="1"/>
  <pageMargins left="0.2" right="0.25" top="0.25" bottom="0" header="0.3" footer="0.3"/>
  <pageSetup scale="71" fitToWidth="2" fitToHeight="2" orientation="landscape" r:id="rId1"/>
  <headerFooter>
    <oddFooter>&amp;R&amp;P</oddFooter>
  </headerFooter>
  <rowBreaks count="1" manualBreakCount="1">
    <brk id="54" min="1" max="14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C835CBEE-8AC4-46FF-84C6-5DDC39A2D585}">
            <xm:f>_xlfn.LET( _xlpm.fp,TRIM(CLEAN(SUBSTITUTE($B62,CHAR(160),""))), _xlpm.ph,D$60, _xlpm.g,TRIM(CLEAN(SUBSTITUTE('Data Table'!$J$2:$J$118,CHAR(160),""))), _xlpm.j,'Data Table'!$M$2:$M$118, _xlpm.m,'Data Table'!$P$2:$P$118, _xlpm.isFp,--(_xlpm.g=_xlpm.fp), _xlpm.isPh,--(IFERROR(--_xlpm.j,0)=_xlpm.ph), _xlpm.leased,SUMPRODUCT(_xlpm.isFp,_xlpm.isPh,--ISNUMBER(_xlpm.m)), _xlpm.total,SUMPRODUCT(_xlpm.isFp,_xlpm.isPh), IF(_xlpm.total=0,FALSE, _xlpm.leased/_xlpm.total&lt;0.3) )</xm:f>
            <x14:dxf>
              <fill>
                <patternFill>
                  <bgColor rgb="FFEF5757"/>
                </patternFill>
              </fill>
            </x14:dxf>
          </x14:cfRule>
          <x14:cfRule type="expression" priority="11" id="{BE2585F4-99E3-4963-86D0-44857B6C46A2}">
            <xm:f>_xlfn.LET( _xlpm.fp,TRIM(CLEAN(SUBSTITUTE($B62,CHAR(160),""))), _xlpm.ph,D$60, _xlpm.g,TRIM(CLEAN(SUBSTITUTE('Data Table'!$J$2:$J$118,CHAR(160),""))), _xlpm.j,'Data Table'!$M$2:$M$118, _xlpm.m,'Data Table'!$P$2:$P$118, _xlpm.isFp,--(_xlpm.g=_xlpm.fp), _xlpm.isPh,--(IFERROR(--_xlpm.j,0)=_xlpm.ph), _xlpm.leased,SUMPRODUCT(_xlpm.isFp,_xlpm.isPh,--ISNUMBER(_xlpm.m)), _xlpm.total,SUMPRODUCT(_xlpm.isFp,_xlpm.isPh), IF(_xlpm.total=0,FALSE, AND(_xlpm.leased/_xlpm.total&gt;=0.3, _xlpm.leased/_xlpm.total&lt;0.6)) )</xm:f>
            <x14:dxf>
              <fill>
                <patternFill>
                  <fgColor rgb="FF00A020"/>
                  <bgColor rgb="FFFFCD2F"/>
                </patternFill>
              </fill>
            </x14:dxf>
          </x14:cfRule>
          <x14:cfRule type="expression" priority="12" id="{202CAF91-A993-49C8-8130-EF587D4D5BD3}">
            <xm:f>_xlfn.LET( _xlpm.fp,TRIM(CLEAN(SUBSTITUTE($B62,CHAR(160),""))), _xlpm.ph,D$60, _xlpm.g,TRIM(CLEAN(SUBSTITUTE('Data Table'!$J$2:$J$118,CHAR(160),""))), _xlpm.j,'Data Table'!$M$2:$M$118, _xlpm.m,'Data Table'!$P$2:$P$118, _xlpm.isFp,--(_xlpm.g=_xlpm.fp), _xlpm.isPh,--(IFERROR(--_xlpm.j,0)=_xlpm.ph), _xlpm.leased,SUMPRODUCT(_xlpm.isFp,_xlpm.isPh,--ISNUMBER(_xlpm.m)), _xlpm.total,SUMPRODUCT(_xlpm.isFp,_xlpm.isPh), IF(_xlpm.total=0,FALSE, _xlpm.leased/_xlpm.total&gt;=0.6))</xm:f>
            <x14:dxf>
              <fill>
                <patternFill>
                  <bgColor rgb="FF92D050"/>
                </patternFill>
              </fill>
            </x14:dxf>
          </x14:cfRule>
          <xm:sqref>D62:I67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0C5B-15A9-4CA2-8E39-D94A4EFB4A44}">
  <sheetPr>
    <tabColor theme="5" tint="0.79998168889431442"/>
  </sheetPr>
  <dimension ref="A1:AE129"/>
  <sheetViews>
    <sheetView showGridLines="0" zoomScale="80" zoomScaleNormal="80" workbookViewId="0">
      <selection activeCell="D30" sqref="D30"/>
    </sheetView>
  </sheetViews>
  <sheetFormatPr defaultColWidth="9.140625" defaultRowHeight="15" x14ac:dyDescent="0.25"/>
  <cols>
    <col min="1" max="1" width="3.140625" style="372" customWidth="1"/>
    <col min="2" max="2" width="35" style="372" customWidth="1"/>
    <col min="3" max="3" width="15.42578125" style="372" customWidth="1"/>
    <col min="4" max="5" width="11.7109375" style="372" customWidth="1"/>
    <col min="6" max="6" width="12.42578125" style="372" customWidth="1"/>
    <col min="7" max="10" width="11.7109375" style="372" customWidth="1"/>
    <col min="11" max="11" width="12.7109375" style="372" customWidth="1"/>
    <col min="12" max="14" width="11.7109375" style="372" customWidth="1"/>
    <col min="15" max="15" width="14.28515625" style="749" customWidth="1"/>
    <col min="16" max="16" width="14.42578125" style="372" bestFit="1" customWidth="1"/>
    <col min="17" max="17" width="14.7109375" style="372" bestFit="1" customWidth="1"/>
    <col min="18" max="18" width="13.7109375" style="372" bestFit="1" customWidth="1"/>
    <col min="19" max="21" width="9.140625" style="372"/>
    <col min="22" max="22" width="13.42578125" style="372" bestFit="1" customWidth="1"/>
    <col min="23" max="25" width="9.140625" style="372"/>
    <col min="26" max="26" width="13" style="372" bestFit="1" customWidth="1"/>
    <col min="27" max="29" width="9.140625" style="372"/>
    <col min="30" max="30" width="11.85546875" style="372" customWidth="1"/>
    <col min="31" max="31" width="12.28515625" style="372" bestFit="1" customWidth="1"/>
    <col min="32" max="16384" width="9.140625" style="372"/>
  </cols>
  <sheetData>
    <row r="1" spans="2:17" ht="33.75" customHeight="1" x14ac:dyDescent="0.25">
      <c r="B1" s="1104" t="s">
        <v>841</v>
      </c>
      <c r="C1" s="1104"/>
      <c r="D1" s="1104"/>
      <c r="E1" s="1104"/>
      <c r="F1" s="1104"/>
      <c r="G1" s="1104"/>
      <c r="H1" s="1104"/>
      <c r="I1" s="1104"/>
      <c r="J1" s="1104"/>
      <c r="K1" s="1104"/>
      <c r="L1" s="1104"/>
      <c r="M1" s="1104"/>
      <c r="N1" s="1104"/>
      <c r="O1" s="1104"/>
    </row>
    <row r="2" spans="2:17" x14ac:dyDescent="0.25">
      <c r="B2" s="748"/>
      <c r="C2" s="748"/>
    </row>
    <row r="3" spans="2:17" x14ac:dyDescent="0.25">
      <c r="B3" s="748"/>
      <c r="C3" s="748"/>
    </row>
    <row r="4" spans="2:17" x14ac:dyDescent="0.25">
      <c r="B4" s="748"/>
      <c r="C4" s="750"/>
    </row>
    <row r="5" spans="2:17" x14ac:dyDescent="0.25">
      <c r="B5" s="748"/>
      <c r="C5" s="751"/>
    </row>
    <row r="6" spans="2:17" x14ac:dyDescent="0.25">
      <c r="B6" s="748"/>
      <c r="C6" s="751"/>
    </row>
    <row r="7" spans="2:17" ht="16.5" thickBot="1" x14ac:dyDescent="0.3">
      <c r="B7" s="1098" t="s">
        <v>701</v>
      </c>
      <c r="C7" s="1098"/>
      <c r="D7" s="1098"/>
      <c r="E7" s="1098"/>
      <c r="F7" s="1098"/>
      <c r="G7" s="1098"/>
      <c r="H7" s="1098"/>
      <c r="I7" s="1098"/>
      <c r="J7" s="1098"/>
      <c r="K7" s="1098"/>
      <c r="L7" s="1098"/>
      <c r="M7" s="1098"/>
      <c r="N7" s="1098"/>
      <c r="O7" s="1098"/>
    </row>
    <row r="8" spans="2:17" ht="15.75" x14ac:dyDescent="0.25">
      <c r="B8" s="912"/>
      <c r="C8" s="946">
        <v>46023</v>
      </c>
      <c r="D8" s="1062">
        <v>46054</v>
      </c>
      <c r="E8" s="947">
        <v>46082</v>
      </c>
      <c r="F8" s="913">
        <v>46113</v>
      </c>
      <c r="G8" s="913">
        <v>46143</v>
      </c>
      <c r="H8" s="913">
        <v>46174</v>
      </c>
      <c r="I8" s="913">
        <v>46204</v>
      </c>
      <c r="J8" s="913">
        <v>46235</v>
      </c>
      <c r="K8" s="913">
        <v>46266</v>
      </c>
      <c r="L8" s="913">
        <v>46296</v>
      </c>
      <c r="M8" s="913">
        <v>46327</v>
      </c>
      <c r="N8" s="913">
        <v>46357</v>
      </c>
      <c r="O8" s="913" t="s">
        <v>177</v>
      </c>
    </row>
    <row r="9" spans="2:17" ht="15.75" x14ac:dyDescent="0.25">
      <c r="B9" s="830"/>
      <c r="C9" s="831" t="s">
        <v>13</v>
      </c>
      <c r="D9" s="1063" t="s">
        <v>13</v>
      </c>
      <c r="E9" s="905" t="s">
        <v>13</v>
      </c>
      <c r="F9" s="831" t="s">
        <v>13</v>
      </c>
      <c r="G9" s="831" t="s">
        <v>13</v>
      </c>
      <c r="H9" s="831" t="s">
        <v>13</v>
      </c>
      <c r="I9" s="831" t="s">
        <v>13</v>
      </c>
      <c r="J9" s="831" t="s">
        <v>13</v>
      </c>
      <c r="K9" s="831" t="s">
        <v>13</v>
      </c>
      <c r="L9" s="831" t="s">
        <v>13</v>
      </c>
      <c r="M9" s="831" t="s">
        <v>13</v>
      </c>
      <c r="N9" s="831" t="s">
        <v>13</v>
      </c>
      <c r="O9" s="831" t="s">
        <v>13</v>
      </c>
    </row>
    <row r="10" spans="2:17" x14ac:dyDescent="0.25">
      <c r="B10" s="748"/>
      <c r="C10" s="756"/>
      <c r="D10" s="1056"/>
      <c r="E10" s="906"/>
      <c r="F10" s="756"/>
      <c r="G10" s="756"/>
      <c r="H10" s="756"/>
      <c r="I10" s="756"/>
      <c r="J10" s="756"/>
      <c r="K10" s="756"/>
      <c r="L10" s="756"/>
      <c r="M10" s="756"/>
      <c r="N10" s="756"/>
      <c r="O10" s="756"/>
    </row>
    <row r="11" spans="2:17" s="789" customFormat="1" ht="15.75" x14ac:dyDescent="0.25">
      <c r="B11" s="819" t="s">
        <v>491</v>
      </c>
      <c r="C11" s="822">
        <v>89547</v>
      </c>
      <c r="D11" s="1057">
        <v>109020</v>
      </c>
      <c r="E11" s="907">
        <v>122894</v>
      </c>
      <c r="F11" s="820">
        <v>138055</v>
      </c>
      <c r="G11" s="820">
        <v>154866</v>
      </c>
      <c r="H11" s="820">
        <v>181029</v>
      </c>
      <c r="I11" s="820">
        <v>203852</v>
      </c>
      <c r="J11" s="820">
        <v>220987</v>
      </c>
      <c r="K11" s="820">
        <v>233397</v>
      </c>
      <c r="L11" s="820">
        <v>256543</v>
      </c>
      <c r="M11" s="820">
        <v>274671</v>
      </c>
      <c r="N11" s="820">
        <v>283349</v>
      </c>
      <c r="O11" s="821">
        <v>2268210</v>
      </c>
      <c r="Q11" s="790">
        <v>2268210</v>
      </c>
    </row>
    <row r="12" spans="2:17" s="789" customFormat="1" ht="15.75" x14ac:dyDescent="0.25">
      <c r="B12" s="819" t="s">
        <v>487</v>
      </c>
      <c r="C12" s="822">
        <v>2535</v>
      </c>
      <c r="D12" s="1057">
        <v>3052</v>
      </c>
      <c r="E12" s="907">
        <v>3446</v>
      </c>
      <c r="F12" s="822">
        <v>3949</v>
      </c>
      <c r="G12" s="822">
        <v>4662</v>
      </c>
      <c r="H12" s="822">
        <v>5465</v>
      </c>
      <c r="I12" s="822">
        <v>6129</v>
      </c>
      <c r="J12" s="822">
        <v>6530</v>
      </c>
      <c r="K12" s="822">
        <v>6924</v>
      </c>
      <c r="L12" s="822">
        <v>7305</v>
      </c>
      <c r="M12" s="822">
        <v>7752</v>
      </c>
      <c r="N12" s="822">
        <v>7920</v>
      </c>
      <c r="O12" s="821">
        <f t="shared" ref="O12:O16" si="0">SUM(C12:N12)</f>
        <v>65669</v>
      </c>
      <c r="Q12" s="790">
        <v>70922</v>
      </c>
    </row>
    <row r="13" spans="2:17" s="789" customFormat="1" ht="15.75" x14ac:dyDescent="0.25">
      <c r="B13" s="819" t="s">
        <v>488</v>
      </c>
      <c r="C13" s="825">
        <v>7497</v>
      </c>
      <c r="D13" s="1058">
        <v>8277</v>
      </c>
      <c r="E13" s="908">
        <v>9493</v>
      </c>
      <c r="F13" s="821">
        <v>10453</v>
      </c>
      <c r="G13" s="821">
        <v>12978</v>
      </c>
      <c r="H13" s="821">
        <v>13483</v>
      </c>
      <c r="I13" s="821">
        <v>14699</v>
      </c>
      <c r="J13" s="821">
        <v>15304</v>
      </c>
      <c r="K13" s="821">
        <v>14179</v>
      </c>
      <c r="L13" s="821">
        <v>13852</v>
      </c>
      <c r="M13" s="821">
        <v>15043</v>
      </c>
      <c r="N13" s="821">
        <v>15109</v>
      </c>
      <c r="O13" s="821">
        <f t="shared" si="0"/>
        <v>150367</v>
      </c>
      <c r="Q13" s="790">
        <v>150367</v>
      </c>
    </row>
    <row r="14" spans="2:17" s="789" customFormat="1" ht="15.75" x14ac:dyDescent="0.25">
      <c r="B14" s="823" t="s">
        <v>530</v>
      </c>
      <c r="C14" s="1064">
        <f>SUM(C11:C13)</f>
        <v>99579</v>
      </c>
      <c r="D14" s="1059">
        <f>SUM(D11:D13)</f>
        <v>120349</v>
      </c>
      <c r="E14" s="909">
        <f t="shared" ref="E14:O14" si="1">SUM(E11:E13)</f>
        <v>135833</v>
      </c>
      <c r="F14" s="824">
        <f t="shared" si="1"/>
        <v>152457</v>
      </c>
      <c r="G14" s="824">
        <f t="shared" si="1"/>
        <v>172506</v>
      </c>
      <c r="H14" s="824">
        <f t="shared" si="1"/>
        <v>199977</v>
      </c>
      <c r="I14" s="824">
        <f t="shared" si="1"/>
        <v>224680</v>
      </c>
      <c r="J14" s="824">
        <f t="shared" si="1"/>
        <v>242821</v>
      </c>
      <c r="K14" s="824">
        <f t="shared" si="1"/>
        <v>254500</v>
      </c>
      <c r="L14" s="824">
        <f t="shared" si="1"/>
        <v>277700</v>
      </c>
      <c r="M14" s="824">
        <f t="shared" si="1"/>
        <v>297466</v>
      </c>
      <c r="N14" s="824">
        <f t="shared" si="1"/>
        <v>306378</v>
      </c>
      <c r="O14" s="824">
        <f t="shared" si="1"/>
        <v>2484246</v>
      </c>
      <c r="Q14" s="790"/>
    </row>
    <row r="15" spans="2:17" s="789" customFormat="1" ht="15.75" x14ac:dyDescent="0.25">
      <c r="B15" s="819" t="s">
        <v>489</v>
      </c>
      <c r="C15" s="825">
        <v>-59578</v>
      </c>
      <c r="D15" s="1058">
        <v>-57242</v>
      </c>
      <c r="E15" s="908">
        <v>-60885</v>
      </c>
      <c r="F15" s="825">
        <v>-65666</v>
      </c>
      <c r="G15" s="825">
        <v>-57912</v>
      </c>
      <c r="H15" s="825">
        <v>-71094</v>
      </c>
      <c r="I15" s="825">
        <v>-72040</v>
      </c>
      <c r="J15" s="825">
        <v>-59844</v>
      </c>
      <c r="K15" s="825">
        <v>-59452</v>
      </c>
      <c r="L15" s="825">
        <v>-60779</v>
      </c>
      <c r="M15" s="825">
        <v>-48389</v>
      </c>
      <c r="N15" s="825">
        <v>-51827</v>
      </c>
      <c r="O15" s="821">
        <f t="shared" si="0"/>
        <v>-724708</v>
      </c>
      <c r="Q15" s="790">
        <v>-721994</v>
      </c>
    </row>
    <row r="16" spans="2:17" s="789" customFormat="1" ht="15.75" x14ac:dyDescent="0.25">
      <c r="B16" s="819" t="s">
        <v>490</v>
      </c>
      <c r="C16" s="822">
        <v>-7500</v>
      </c>
      <c r="D16" s="1057">
        <v>-7500</v>
      </c>
      <c r="E16" s="907">
        <v>-7500</v>
      </c>
      <c r="F16" s="822">
        <v>-7500</v>
      </c>
      <c r="G16" s="822">
        <v>-7500</v>
      </c>
      <c r="H16" s="822">
        <v>-7500</v>
      </c>
      <c r="I16" s="822">
        <v>-83930</v>
      </c>
      <c r="J16" s="822">
        <v>-83930</v>
      </c>
      <c r="K16" s="822">
        <v>-83930</v>
      </c>
      <c r="L16" s="822">
        <v>-83930</v>
      </c>
      <c r="M16" s="822">
        <v>-83930</v>
      </c>
      <c r="N16" s="822">
        <v>-83930</v>
      </c>
      <c r="O16" s="821">
        <f t="shared" si="0"/>
        <v>-548580</v>
      </c>
      <c r="Q16" s="790">
        <v>-1007160</v>
      </c>
    </row>
    <row r="17" spans="2:17" s="791" customFormat="1" ht="15.75" x14ac:dyDescent="0.25">
      <c r="B17" s="823" t="s">
        <v>86</v>
      </c>
      <c r="C17" s="826">
        <f>C14+C15+C16</f>
        <v>32501</v>
      </c>
      <c r="D17" s="1060">
        <f>D14+D15+D16</f>
        <v>55607</v>
      </c>
      <c r="E17" s="910">
        <f t="shared" ref="E17:N17" si="2">E14+E15+E16</f>
        <v>67448</v>
      </c>
      <c r="F17" s="826">
        <f t="shared" si="2"/>
        <v>79291</v>
      </c>
      <c r="G17" s="826">
        <f t="shared" si="2"/>
        <v>107094</v>
      </c>
      <c r="H17" s="826">
        <f t="shared" si="2"/>
        <v>121383</v>
      </c>
      <c r="I17" s="826">
        <f t="shared" si="2"/>
        <v>68710</v>
      </c>
      <c r="J17" s="826">
        <f t="shared" si="2"/>
        <v>99047</v>
      </c>
      <c r="K17" s="826">
        <f t="shared" si="2"/>
        <v>111118</v>
      </c>
      <c r="L17" s="826">
        <f t="shared" si="2"/>
        <v>132991</v>
      </c>
      <c r="M17" s="826">
        <f t="shared" si="2"/>
        <v>165147</v>
      </c>
      <c r="N17" s="826">
        <f t="shared" si="2"/>
        <v>170621</v>
      </c>
      <c r="O17" s="826">
        <f>O14+O15+O16</f>
        <v>1210958</v>
      </c>
      <c r="Q17" s="792">
        <v>760345</v>
      </c>
    </row>
    <row r="18" spans="2:17" s="789" customFormat="1" ht="15.75" x14ac:dyDescent="0.25">
      <c r="B18" s="819"/>
      <c r="C18" s="827"/>
      <c r="D18" s="1061"/>
      <c r="E18" s="911"/>
      <c r="F18" s="827"/>
      <c r="G18" s="827"/>
      <c r="H18" s="827"/>
      <c r="I18" s="827"/>
      <c r="J18" s="827"/>
      <c r="K18" s="827"/>
      <c r="L18" s="827"/>
      <c r="M18" s="827"/>
      <c r="N18" s="827"/>
      <c r="O18" s="827"/>
    </row>
    <row r="19" spans="2:17" s="789" customFormat="1" ht="15.75" x14ac:dyDescent="0.25">
      <c r="B19" s="819" t="s">
        <v>492</v>
      </c>
      <c r="C19" s="827">
        <v>0</v>
      </c>
      <c r="D19" s="1061">
        <v>0</v>
      </c>
      <c r="E19" s="911">
        <v>-1200</v>
      </c>
      <c r="F19" s="827">
        <v>0</v>
      </c>
      <c r="G19" s="827">
        <v>0</v>
      </c>
      <c r="H19" s="827">
        <v>-7700</v>
      </c>
      <c r="I19" s="827">
        <v>0</v>
      </c>
      <c r="J19" s="827">
        <v>0</v>
      </c>
      <c r="K19" s="827">
        <v>-1200</v>
      </c>
      <c r="L19" s="827">
        <v>0</v>
      </c>
      <c r="M19" s="827">
        <v>0</v>
      </c>
      <c r="N19" s="827">
        <v>-1200</v>
      </c>
      <c r="O19" s="827">
        <f>SUM(C19:N19)</f>
        <v>-11300</v>
      </c>
    </row>
    <row r="20" spans="2:17" s="789" customFormat="1" ht="16.5" thickBot="1" x14ac:dyDescent="0.3">
      <c r="B20" s="819"/>
      <c r="C20" s="827"/>
      <c r="D20" s="1061"/>
      <c r="E20" s="911"/>
      <c r="F20" s="827"/>
      <c r="G20" s="827"/>
      <c r="H20" s="827"/>
      <c r="I20" s="827"/>
      <c r="J20" s="827"/>
      <c r="K20" s="827"/>
      <c r="L20" s="827"/>
      <c r="M20" s="827"/>
      <c r="N20" s="827"/>
      <c r="O20" s="827"/>
      <c r="P20" s="795"/>
    </row>
    <row r="21" spans="2:17" s="789" customFormat="1" ht="16.5" thickBot="1" x14ac:dyDescent="0.3">
      <c r="B21" s="941" t="s">
        <v>700</v>
      </c>
      <c r="C21" s="942">
        <f>C17+C19</f>
        <v>32501</v>
      </c>
      <c r="D21" s="943">
        <f t="shared" ref="D21:N21" si="3">D17+D19</f>
        <v>55607</v>
      </c>
      <c r="E21" s="937">
        <f>E17+E19</f>
        <v>66248</v>
      </c>
      <c r="F21" s="942">
        <f t="shared" si="3"/>
        <v>79291</v>
      </c>
      <c r="G21" s="942">
        <f t="shared" si="3"/>
        <v>107094</v>
      </c>
      <c r="H21" s="942">
        <f t="shared" si="3"/>
        <v>113683</v>
      </c>
      <c r="I21" s="942">
        <f>I17+I19</f>
        <v>68710</v>
      </c>
      <c r="J21" s="942">
        <f t="shared" si="3"/>
        <v>99047</v>
      </c>
      <c r="K21" s="942">
        <f t="shared" si="3"/>
        <v>109918</v>
      </c>
      <c r="L21" s="942">
        <f t="shared" si="3"/>
        <v>132991</v>
      </c>
      <c r="M21" s="942">
        <f t="shared" si="3"/>
        <v>165147</v>
      </c>
      <c r="N21" s="942">
        <f t="shared" si="3"/>
        <v>169421</v>
      </c>
      <c r="O21" s="943">
        <f>O17+O19</f>
        <v>1199658</v>
      </c>
    </row>
    <row r="22" spans="2:17" s="789" customFormat="1" x14ac:dyDescent="0.25">
      <c r="C22" s="794"/>
      <c r="D22" s="944"/>
      <c r="E22" s="794"/>
      <c r="F22" s="794"/>
      <c r="G22" s="794"/>
      <c r="H22" s="794"/>
      <c r="I22" s="794"/>
      <c r="J22" s="794"/>
      <c r="K22" s="794"/>
      <c r="L22" s="794"/>
      <c r="M22" s="794"/>
      <c r="N22" s="794"/>
      <c r="O22" s="794"/>
    </row>
    <row r="23" spans="2:17" s="823" customFormat="1" ht="16.5" thickBot="1" x14ac:dyDescent="0.3">
      <c r="B23" s="1117" t="s">
        <v>702</v>
      </c>
      <c r="C23" s="1117"/>
      <c r="D23" s="1117"/>
      <c r="E23" s="1117"/>
      <c r="F23" s="1117"/>
      <c r="G23" s="1117"/>
      <c r="H23" s="1117"/>
      <c r="I23" s="1117"/>
      <c r="J23" s="1117"/>
      <c r="K23" s="1117"/>
      <c r="L23" s="1117"/>
      <c r="M23" s="1117"/>
      <c r="N23" s="1117"/>
      <c r="O23" s="1117"/>
    </row>
    <row r="24" spans="2:17" ht="15.75" x14ac:dyDescent="0.25">
      <c r="B24" s="945"/>
      <c r="C24" s="946">
        <v>46023</v>
      </c>
      <c r="D24" s="948">
        <v>46054</v>
      </c>
      <c r="E24" s="947">
        <v>46082</v>
      </c>
      <c r="F24" s="946">
        <v>46113</v>
      </c>
      <c r="G24" s="946">
        <v>46143</v>
      </c>
      <c r="H24" s="946">
        <v>46174</v>
      </c>
      <c r="I24" s="946">
        <v>46204</v>
      </c>
      <c r="J24" s="946">
        <v>46235</v>
      </c>
      <c r="K24" s="946">
        <v>46266</v>
      </c>
      <c r="L24" s="946">
        <v>46296</v>
      </c>
      <c r="M24" s="946">
        <v>46327</v>
      </c>
      <c r="N24" s="946">
        <v>46357</v>
      </c>
      <c r="O24" s="948" t="s">
        <v>177</v>
      </c>
    </row>
    <row r="25" spans="2:17" ht="16.5" thickBot="1" x14ac:dyDescent="0.3">
      <c r="B25" s="949"/>
      <c r="C25" s="950" t="s">
        <v>12</v>
      </c>
      <c r="D25" s="1055" t="s">
        <v>230</v>
      </c>
      <c r="E25" s="951" t="s">
        <v>230</v>
      </c>
      <c r="F25" s="952" t="s">
        <v>13</v>
      </c>
      <c r="G25" s="952" t="s">
        <v>13</v>
      </c>
      <c r="H25" s="952" t="s">
        <v>13</v>
      </c>
      <c r="I25" s="952" t="s">
        <v>13</v>
      </c>
      <c r="J25" s="952" t="s">
        <v>13</v>
      </c>
      <c r="K25" s="952" t="s">
        <v>13</v>
      </c>
      <c r="L25" s="952" t="s">
        <v>13</v>
      </c>
      <c r="M25" s="952" t="s">
        <v>13</v>
      </c>
      <c r="N25" s="952" t="s">
        <v>13</v>
      </c>
      <c r="O25" s="953" t="s">
        <v>13</v>
      </c>
    </row>
    <row r="26" spans="2:17" x14ac:dyDescent="0.25">
      <c r="B26" s="748"/>
      <c r="C26" s="756"/>
      <c r="D26" s="1056"/>
      <c r="E26" s="906"/>
      <c r="F26" s="756"/>
      <c r="G26" s="756"/>
      <c r="H26" s="756"/>
      <c r="I26" s="756"/>
      <c r="J26" s="756"/>
      <c r="K26" s="756"/>
      <c r="L26" s="756"/>
      <c r="M26" s="756"/>
      <c r="N26" s="756"/>
      <c r="O26" s="756"/>
    </row>
    <row r="27" spans="2:17" s="789" customFormat="1" ht="15.75" x14ac:dyDescent="0.25">
      <c r="B27" s="819" t="s">
        <v>491</v>
      </c>
      <c r="C27" s="822">
        <v>80971.03</v>
      </c>
      <c r="D27" s="1057">
        <v>72170.14</v>
      </c>
      <c r="E27" s="907">
        <v>112999.88</v>
      </c>
      <c r="F27" s="820">
        <v>138055</v>
      </c>
      <c r="G27" s="820">
        <v>154866</v>
      </c>
      <c r="H27" s="820">
        <v>181029</v>
      </c>
      <c r="I27" s="820">
        <v>203852</v>
      </c>
      <c r="J27" s="820">
        <v>220987</v>
      </c>
      <c r="K27" s="820">
        <v>233397</v>
      </c>
      <c r="L27" s="820">
        <v>256543</v>
      </c>
      <c r="M27" s="820">
        <v>274671</v>
      </c>
      <c r="N27" s="820">
        <v>283349</v>
      </c>
      <c r="O27" s="821">
        <f t="shared" ref="O27:O32" si="4">SUM(C27:N27)</f>
        <v>2212890.0499999998</v>
      </c>
      <c r="Q27" s="1071"/>
    </row>
    <row r="28" spans="2:17" s="789" customFormat="1" ht="15.75" x14ac:dyDescent="0.25">
      <c r="B28" s="819" t="s">
        <v>487</v>
      </c>
      <c r="C28" s="822">
        <v>2705.74</v>
      </c>
      <c r="D28" s="1057">
        <v>2806.38</v>
      </c>
      <c r="E28" s="907">
        <v>3592.85</v>
      </c>
      <c r="F28" s="822">
        <v>3949</v>
      </c>
      <c r="G28" s="822">
        <v>4662</v>
      </c>
      <c r="H28" s="822">
        <v>5465</v>
      </c>
      <c r="I28" s="822">
        <v>6129</v>
      </c>
      <c r="J28" s="822">
        <v>6530</v>
      </c>
      <c r="K28" s="822">
        <v>6924</v>
      </c>
      <c r="L28" s="822">
        <v>7305</v>
      </c>
      <c r="M28" s="822">
        <v>7752</v>
      </c>
      <c r="N28" s="822">
        <v>7920</v>
      </c>
      <c r="O28" s="821">
        <f t="shared" si="4"/>
        <v>65740.97</v>
      </c>
      <c r="Q28" s="1071"/>
    </row>
    <row r="29" spans="2:17" s="789" customFormat="1" ht="15.75" x14ac:dyDescent="0.25">
      <c r="B29" s="819" t="s">
        <v>488</v>
      </c>
      <c r="C29" s="825">
        <v>9037.36</v>
      </c>
      <c r="D29" s="1058">
        <v>6086.37</v>
      </c>
      <c r="E29" s="908">
        <v>8200.39</v>
      </c>
      <c r="F29" s="821">
        <v>10453</v>
      </c>
      <c r="G29" s="821">
        <v>12978</v>
      </c>
      <c r="H29" s="821">
        <v>13483</v>
      </c>
      <c r="I29" s="821">
        <v>14699</v>
      </c>
      <c r="J29" s="821">
        <v>15304</v>
      </c>
      <c r="K29" s="821">
        <v>14179</v>
      </c>
      <c r="L29" s="821">
        <v>13852</v>
      </c>
      <c r="M29" s="821">
        <v>15043</v>
      </c>
      <c r="N29" s="821">
        <v>15109</v>
      </c>
      <c r="O29" s="821">
        <f t="shared" si="4"/>
        <v>148424.12</v>
      </c>
      <c r="Q29" s="1071"/>
    </row>
    <row r="30" spans="2:17" s="789" customFormat="1" ht="15.75" x14ac:dyDescent="0.25">
      <c r="B30" s="823" t="s">
        <v>530</v>
      </c>
      <c r="C30" s="1064">
        <f>SUM(C27:C29)</f>
        <v>92714.13</v>
      </c>
      <c r="D30" s="1059">
        <f>SUM(D27:D29)</f>
        <v>81062.89</v>
      </c>
      <c r="E30" s="909">
        <f t="shared" ref="E30:N30" si="5">SUM(E27:E29)</f>
        <v>124793.12000000001</v>
      </c>
      <c r="F30" s="824">
        <f t="shared" si="5"/>
        <v>152457</v>
      </c>
      <c r="G30" s="824">
        <f t="shared" si="5"/>
        <v>172506</v>
      </c>
      <c r="H30" s="824">
        <f t="shared" si="5"/>
        <v>199977</v>
      </c>
      <c r="I30" s="824">
        <f t="shared" si="5"/>
        <v>224680</v>
      </c>
      <c r="J30" s="824">
        <f t="shared" si="5"/>
        <v>242821</v>
      </c>
      <c r="K30" s="824">
        <f t="shared" si="5"/>
        <v>254500</v>
      </c>
      <c r="L30" s="824">
        <f t="shared" si="5"/>
        <v>277700</v>
      </c>
      <c r="M30" s="824">
        <f t="shared" si="5"/>
        <v>297466</v>
      </c>
      <c r="N30" s="824">
        <f t="shared" si="5"/>
        <v>306378</v>
      </c>
      <c r="O30" s="824">
        <f t="shared" si="4"/>
        <v>2427055.14</v>
      </c>
      <c r="Q30" s="1071"/>
    </row>
    <row r="31" spans="2:17" s="789" customFormat="1" ht="15.75" x14ac:dyDescent="0.25">
      <c r="B31" s="819" t="s">
        <v>489</v>
      </c>
      <c r="C31" s="825">
        <v>-60895.72</v>
      </c>
      <c r="D31" s="1058">
        <f>-73990.88+7500</f>
        <v>-66490.880000000005</v>
      </c>
      <c r="E31" s="908">
        <f>-55480.17+7500</f>
        <v>-47980.17</v>
      </c>
      <c r="F31" s="825">
        <v>-65666</v>
      </c>
      <c r="G31" s="825">
        <v>-57912</v>
      </c>
      <c r="H31" s="825">
        <v>-71094</v>
      </c>
      <c r="I31" s="825">
        <v>-72040</v>
      </c>
      <c r="J31" s="825">
        <v>-59844</v>
      </c>
      <c r="K31" s="825">
        <v>-59452</v>
      </c>
      <c r="L31" s="825">
        <v>-60779</v>
      </c>
      <c r="M31" s="825">
        <v>-48389</v>
      </c>
      <c r="N31" s="825">
        <v>-51827</v>
      </c>
      <c r="O31" s="821">
        <f t="shared" si="4"/>
        <v>-722369.77</v>
      </c>
      <c r="Q31" s="1071"/>
    </row>
    <row r="32" spans="2:17" s="789" customFormat="1" ht="15.75" x14ac:dyDescent="0.25">
      <c r="B32" s="819" t="s">
        <v>490</v>
      </c>
      <c r="C32" s="822">
        <f>-7500</f>
        <v>-7500</v>
      </c>
      <c r="D32" s="1057">
        <v>-7500</v>
      </c>
      <c r="E32" s="907">
        <v>-7500</v>
      </c>
      <c r="F32" s="822">
        <v>-7500</v>
      </c>
      <c r="G32" s="822">
        <v>-7500</v>
      </c>
      <c r="H32" s="822">
        <v>-7500</v>
      </c>
      <c r="I32" s="822">
        <v>-83930</v>
      </c>
      <c r="J32" s="822">
        <v>-83930</v>
      </c>
      <c r="K32" s="822">
        <v>-83930</v>
      </c>
      <c r="L32" s="822">
        <v>-83930</v>
      </c>
      <c r="M32" s="822">
        <v>-83930</v>
      </c>
      <c r="N32" s="822">
        <v>-83930</v>
      </c>
      <c r="O32" s="821">
        <f t="shared" si="4"/>
        <v>-548580</v>
      </c>
      <c r="Q32" s="1071"/>
    </row>
    <row r="33" spans="2:17" s="791" customFormat="1" ht="15.75" x14ac:dyDescent="0.25">
      <c r="B33" s="823" t="s">
        <v>86</v>
      </c>
      <c r="C33" s="826">
        <f>C30+C31+C32</f>
        <v>24318.410000000003</v>
      </c>
      <c r="D33" s="1060">
        <f>D30+D31+D32</f>
        <v>7072.0099999999948</v>
      </c>
      <c r="E33" s="910">
        <f t="shared" ref="E33:N33" si="6">E30+E31+E32</f>
        <v>69312.950000000012</v>
      </c>
      <c r="F33" s="826">
        <f t="shared" si="6"/>
        <v>79291</v>
      </c>
      <c r="G33" s="826">
        <f t="shared" si="6"/>
        <v>107094</v>
      </c>
      <c r="H33" s="826">
        <f t="shared" si="6"/>
        <v>121383</v>
      </c>
      <c r="I33" s="826">
        <f t="shared" si="6"/>
        <v>68710</v>
      </c>
      <c r="J33" s="826">
        <f t="shared" si="6"/>
        <v>99047</v>
      </c>
      <c r="K33" s="826">
        <f t="shared" si="6"/>
        <v>111118</v>
      </c>
      <c r="L33" s="826">
        <f t="shared" si="6"/>
        <v>132991</v>
      </c>
      <c r="M33" s="826">
        <f t="shared" si="6"/>
        <v>165147</v>
      </c>
      <c r="N33" s="826">
        <f t="shared" si="6"/>
        <v>170621</v>
      </c>
      <c r="O33" s="826">
        <f>O30+O31+O32</f>
        <v>1156105.3700000001</v>
      </c>
      <c r="Q33" s="1072"/>
    </row>
    <row r="34" spans="2:17" s="789" customFormat="1" ht="15.75" x14ac:dyDescent="0.25">
      <c r="B34" s="819"/>
      <c r="C34" s="827"/>
      <c r="D34" s="1061"/>
      <c r="E34" s="911"/>
      <c r="F34" s="827"/>
      <c r="G34" s="827"/>
      <c r="H34" s="827"/>
      <c r="I34" s="827"/>
      <c r="J34" s="827"/>
      <c r="K34" s="827"/>
      <c r="L34" s="827"/>
      <c r="M34" s="827"/>
      <c r="N34" s="827"/>
      <c r="O34" s="827"/>
    </row>
    <row r="35" spans="2:17" s="789" customFormat="1" ht="15.75" x14ac:dyDescent="0.25">
      <c r="B35" s="819" t="s">
        <v>816</v>
      </c>
      <c r="C35" s="827">
        <v>-2245</v>
      </c>
      <c r="D35" s="1061">
        <f>-477.74-1894.38</f>
        <v>-2372.12</v>
      </c>
      <c r="E35" s="911">
        <f>-3721.38-8660-2000</f>
        <v>-14381.380000000001</v>
      </c>
      <c r="F35" s="827">
        <v>0</v>
      </c>
      <c r="G35" s="827">
        <v>0</v>
      </c>
      <c r="H35" s="827">
        <v>-7700</v>
      </c>
      <c r="I35" s="827">
        <v>0</v>
      </c>
      <c r="J35" s="827">
        <v>0</v>
      </c>
      <c r="K35" s="827">
        <v>-1200</v>
      </c>
      <c r="L35" s="827">
        <v>0</v>
      </c>
      <c r="M35" s="827">
        <v>0</v>
      </c>
      <c r="N35" s="827">
        <v>-1200</v>
      </c>
      <c r="O35" s="827">
        <f>SUM(C35:N35)</f>
        <v>-29098.5</v>
      </c>
    </row>
    <row r="36" spans="2:17" s="789" customFormat="1" ht="16.5" thickBot="1" x14ac:dyDescent="0.3">
      <c r="B36" s="819"/>
      <c r="C36" s="827"/>
      <c r="D36" s="1061"/>
      <c r="E36" s="911"/>
      <c r="F36" s="827"/>
      <c r="G36" s="827"/>
      <c r="H36" s="827"/>
      <c r="I36" s="827"/>
      <c r="J36" s="827"/>
      <c r="K36" s="827"/>
      <c r="L36" s="827"/>
      <c r="M36" s="827"/>
      <c r="N36" s="827"/>
      <c r="O36" s="827"/>
      <c r="P36" s="795"/>
    </row>
    <row r="37" spans="2:17" s="789" customFormat="1" ht="16.5" thickBot="1" x14ac:dyDescent="0.3">
      <c r="B37" s="941" t="s">
        <v>703</v>
      </c>
      <c r="C37" s="942">
        <f>C33+C35</f>
        <v>22073.410000000003</v>
      </c>
      <c r="D37" s="943">
        <f t="shared" ref="D37:H37" si="7">D33+D35</f>
        <v>4699.8899999999949</v>
      </c>
      <c r="E37" s="937">
        <f t="shared" si="7"/>
        <v>54931.570000000007</v>
      </c>
      <c r="F37" s="942">
        <f t="shared" si="7"/>
        <v>79291</v>
      </c>
      <c r="G37" s="942">
        <f t="shared" si="7"/>
        <v>107094</v>
      </c>
      <c r="H37" s="942">
        <f t="shared" si="7"/>
        <v>113683</v>
      </c>
      <c r="I37" s="942">
        <f>I33+I35</f>
        <v>68710</v>
      </c>
      <c r="J37" s="942">
        <f t="shared" ref="J37:N37" si="8">J33+J35</f>
        <v>99047</v>
      </c>
      <c r="K37" s="942">
        <f t="shared" si="8"/>
        <v>109918</v>
      </c>
      <c r="L37" s="942">
        <f t="shared" si="8"/>
        <v>132991</v>
      </c>
      <c r="M37" s="942">
        <f t="shared" si="8"/>
        <v>165147</v>
      </c>
      <c r="N37" s="942">
        <f t="shared" si="8"/>
        <v>169421</v>
      </c>
      <c r="O37" s="943">
        <f>O33+O35</f>
        <v>1127006.8700000001</v>
      </c>
      <c r="Q37" s="1073"/>
    </row>
    <row r="38" spans="2:17" s="796" customFormat="1" x14ac:dyDescent="0.25">
      <c r="B38" s="796" t="s">
        <v>704</v>
      </c>
      <c r="C38" s="797">
        <f>C37-C21</f>
        <v>-10427.589999999997</v>
      </c>
      <c r="D38" s="797">
        <f t="shared" ref="D38:O38" si="9">D37-D21</f>
        <v>-50907.110000000008</v>
      </c>
      <c r="E38" s="797">
        <f>E37-E21</f>
        <v>-11316.429999999993</v>
      </c>
      <c r="F38" s="797">
        <f t="shared" si="9"/>
        <v>0</v>
      </c>
      <c r="G38" s="797">
        <f t="shared" si="9"/>
        <v>0</v>
      </c>
      <c r="H38" s="797">
        <f t="shared" si="9"/>
        <v>0</v>
      </c>
      <c r="I38" s="797">
        <f t="shared" si="9"/>
        <v>0</v>
      </c>
      <c r="J38" s="797">
        <f t="shared" si="9"/>
        <v>0</v>
      </c>
      <c r="K38" s="797">
        <f t="shared" si="9"/>
        <v>0</v>
      </c>
      <c r="L38" s="797">
        <f t="shared" si="9"/>
        <v>0</v>
      </c>
      <c r="M38" s="797">
        <f t="shared" si="9"/>
        <v>0</v>
      </c>
      <c r="N38" s="797">
        <f t="shared" si="9"/>
        <v>0</v>
      </c>
      <c r="O38" s="954">
        <f t="shared" si="9"/>
        <v>-72651.129999999888</v>
      </c>
    </row>
    <row r="39" spans="2:17" s="791" customFormat="1" ht="15.75" thickBot="1" x14ac:dyDescent="0.3">
      <c r="B39" s="1097" t="s">
        <v>545</v>
      </c>
      <c r="C39" s="1097"/>
      <c r="D39" s="1097"/>
      <c r="E39" s="1097"/>
      <c r="F39" s="1097"/>
      <c r="G39" s="1097"/>
      <c r="H39" s="1097"/>
      <c r="I39" s="1097"/>
      <c r="J39" s="1097"/>
      <c r="K39" s="1097"/>
      <c r="L39" s="1097"/>
      <c r="M39" s="1097"/>
      <c r="N39" s="1097"/>
      <c r="O39" s="1097"/>
    </row>
    <row r="40" spans="2:17" s="791" customFormat="1" ht="15.75" x14ac:dyDescent="0.25">
      <c r="B40" s="819" t="s">
        <v>491</v>
      </c>
      <c r="C40" s="1069">
        <v>96017.211538461532</v>
      </c>
      <c r="D40" s="1065">
        <v>108835.50480769233</v>
      </c>
      <c r="E40" s="914">
        <v>123078.05288461539</v>
      </c>
      <c r="F40" s="832">
        <v>137320.60096153847</v>
      </c>
      <c r="G40" s="832">
        <v>153476.70027043269</v>
      </c>
      <c r="H40" s="832">
        <v>176886.10203846148</v>
      </c>
      <c r="I40" s="832">
        <v>204678.29191346158</v>
      </c>
      <c r="J40" s="832">
        <v>229680.65147115383</v>
      </c>
      <c r="K40" s="832">
        <v>250461.5909915865</v>
      </c>
      <c r="L40" s="832">
        <v>266999.10573798075</v>
      </c>
      <c r="M40" s="832">
        <v>280746.79016706732</v>
      </c>
      <c r="N40" s="832">
        <v>293070.21978846152</v>
      </c>
      <c r="O40" s="833">
        <f>SUM(C40:N40)</f>
        <v>2321250.8225709135</v>
      </c>
    </row>
    <row r="41" spans="2:17" s="791" customFormat="1" ht="15.75" x14ac:dyDescent="0.25">
      <c r="B41" s="819" t="s">
        <v>523</v>
      </c>
      <c r="C41" s="1070">
        <v>7034.2745726495723</v>
      </c>
      <c r="D41" s="1066">
        <v>7871.6882122507122</v>
      </c>
      <c r="E41" s="914">
        <v>8709.1018518518522</v>
      </c>
      <c r="F41" s="832">
        <v>9713.9982193732194</v>
      </c>
      <c r="G41" s="832">
        <v>11418.151724234333</v>
      </c>
      <c r="H41" s="832">
        <v>12962.585325614318</v>
      </c>
      <c r="I41" s="832">
        <v>14346.005219439992</v>
      </c>
      <c r="J41" s="832">
        <v>15397.90980162037</v>
      </c>
      <c r="K41" s="832">
        <v>16285.350532051283</v>
      </c>
      <c r="L41" s="832">
        <v>17007.033606659541</v>
      </c>
      <c r="M41" s="832">
        <v>17732.166825462962</v>
      </c>
      <c r="N41" s="832">
        <v>18289.817316346154</v>
      </c>
      <c r="O41" s="832">
        <f t="shared" ref="O41:O44" si="10">SUM(C41:N41)</f>
        <v>156768.0832075543</v>
      </c>
      <c r="P41" s="938">
        <f>O41+O40</f>
        <v>2478018.9057784677</v>
      </c>
    </row>
    <row r="42" spans="2:17" s="791" customFormat="1" ht="15.75" x14ac:dyDescent="0.25">
      <c r="B42" s="819" t="s">
        <v>489</v>
      </c>
      <c r="C42" s="834">
        <v>-60694</v>
      </c>
      <c r="D42" s="1067">
        <v>-62104</v>
      </c>
      <c r="E42" s="915">
        <v>-60692</v>
      </c>
      <c r="F42" s="834">
        <v>-64973</v>
      </c>
      <c r="G42" s="834">
        <v>-63188</v>
      </c>
      <c r="H42" s="834">
        <v>-70856</v>
      </c>
      <c r="I42" s="834">
        <v>-71302</v>
      </c>
      <c r="J42" s="834">
        <v>-65703</v>
      </c>
      <c r="K42" s="834">
        <v>-59750</v>
      </c>
      <c r="L42" s="834">
        <v>-60077</v>
      </c>
      <c r="M42" s="834">
        <v>-53765</v>
      </c>
      <c r="N42" s="834">
        <v>-51625</v>
      </c>
      <c r="O42" s="835">
        <f t="shared" si="10"/>
        <v>-744729</v>
      </c>
    </row>
    <row r="43" spans="2:17" s="791" customFormat="1" ht="16.5" thickBot="1" x14ac:dyDescent="0.3">
      <c r="B43" s="819" t="s">
        <v>490</v>
      </c>
      <c r="C43" s="822">
        <v>-7500</v>
      </c>
      <c r="D43" s="1057">
        <v>-7500</v>
      </c>
      <c r="E43" s="907">
        <v>-7500</v>
      </c>
      <c r="F43" s="822">
        <v>-7500</v>
      </c>
      <c r="G43" s="822">
        <v>-7500</v>
      </c>
      <c r="H43" s="822">
        <v>-7500</v>
      </c>
      <c r="I43" s="822">
        <v>-83930</v>
      </c>
      <c r="J43" s="822">
        <v>-83930</v>
      </c>
      <c r="K43" s="822">
        <v>-83930</v>
      </c>
      <c r="L43" s="822">
        <v>-83930</v>
      </c>
      <c r="M43" s="822">
        <v>-83930</v>
      </c>
      <c r="N43" s="822">
        <v>-86416</v>
      </c>
      <c r="O43" s="827">
        <f t="shared" si="10"/>
        <v>-551066</v>
      </c>
    </row>
    <row r="44" spans="2:17" s="791" customFormat="1" ht="16.5" thickBot="1" x14ac:dyDescent="0.3">
      <c r="B44" s="836" t="s">
        <v>546</v>
      </c>
      <c r="C44" s="837">
        <f t="shared" ref="C44:N44" si="11">SUM(C40:C43)</f>
        <v>34857.486111111109</v>
      </c>
      <c r="D44" s="1068">
        <f t="shared" si="11"/>
        <v>47103.193019943035</v>
      </c>
      <c r="E44" s="916">
        <f t="shared" si="11"/>
        <v>63595.15473646723</v>
      </c>
      <c r="F44" s="837">
        <f t="shared" si="11"/>
        <v>74561.599180911697</v>
      </c>
      <c r="G44" s="837">
        <f t="shared" si="11"/>
        <v>94206.851994667028</v>
      </c>
      <c r="H44" s="837">
        <f t="shared" si="11"/>
        <v>111492.6873640758</v>
      </c>
      <c r="I44" s="837">
        <f t="shared" si="11"/>
        <v>63792.297132901585</v>
      </c>
      <c r="J44" s="837">
        <f t="shared" si="11"/>
        <v>95445.561272774212</v>
      </c>
      <c r="K44" s="837">
        <f t="shared" si="11"/>
        <v>123066.9415236378</v>
      </c>
      <c r="L44" s="837">
        <f t="shared" si="11"/>
        <v>139999.13934464031</v>
      </c>
      <c r="M44" s="837">
        <f t="shared" si="11"/>
        <v>160783.95699253026</v>
      </c>
      <c r="N44" s="837">
        <f t="shared" si="11"/>
        <v>173319.03710480768</v>
      </c>
      <c r="O44" s="937">
        <f t="shared" si="10"/>
        <v>1182223.9057784677</v>
      </c>
      <c r="P44" s="899"/>
    </row>
    <row r="45" spans="2:17" s="796" customFormat="1" x14ac:dyDescent="0.25">
      <c r="B45" s="796" t="s">
        <v>524</v>
      </c>
      <c r="C45" s="797">
        <f>C37-C44</f>
        <v>-12784.076111111106</v>
      </c>
      <c r="D45" s="797">
        <f t="shared" ref="D45:O45" si="12">D37-D44</f>
        <v>-42403.303019943043</v>
      </c>
      <c r="E45" s="797">
        <f t="shared" si="12"/>
        <v>-8663.5847364672227</v>
      </c>
      <c r="F45" s="797">
        <f t="shared" si="12"/>
        <v>4729.4008190883033</v>
      </c>
      <c r="G45" s="797">
        <f t="shared" si="12"/>
        <v>12887.148005332972</v>
      </c>
      <c r="H45" s="797">
        <f t="shared" si="12"/>
        <v>2190.3126359242015</v>
      </c>
      <c r="I45" s="797">
        <f t="shared" si="12"/>
        <v>4917.7028670984146</v>
      </c>
      <c r="J45" s="797">
        <f t="shared" si="12"/>
        <v>3601.4387272257882</v>
      </c>
      <c r="K45" s="797">
        <f t="shared" si="12"/>
        <v>-13148.941523637797</v>
      </c>
      <c r="L45" s="797">
        <f t="shared" si="12"/>
        <v>-7008.139344640309</v>
      </c>
      <c r="M45" s="797">
        <f t="shared" si="12"/>
        <v>4363.043007469736</v>
      </c>
      <c r="N45" s="797">
        <f t="shared" si="12"/>
        <v>-3898.0371048076777</v>
      </c>
      <c r="O45" s="954">
        <f t="shared" si="12"/>
        <v>-55217.035778467543</v>
      </c>
    </row>
    <row r="46" spans="2:17" s="791" customFormat="1" x14ac:dyDescent="0.25">
      <c r="C46" s="793"/>
      <c r="D46" s="793"/>
      <c r="E46" s="793"/>
      <c r="F46" s="793"/>
      <c r="G46" s="793"/>
      <c r="H46" s="793"/>
      <c r="I46" s="793"/>
      <c r="J46" s="793"/>
      <c r="K46" s="793"/>
      <c r="L46" s="793"/>
      <c r="M46" s="793"/>
      <c r="N46" s="793"/>
      <c r="O46" s="793"/>
    </row>
    <row r="47" spans="2:17" ht="16.5" thickBot="1" x14ac:dyDescent="0.3">
      <c r="B47" s="1098" t="s">
        <v>493</v>
      </c>
      <c r="C47" s="1098"/>
      <c r="D47" s="1098"/>
      <c r="E47" s="1098"/>
      <c r="F47" s="1098"/>
      <c r="G47" s="1098"/>
      <c r="H47" s="1098"/>
      <c r="I47" s="1098"/>
      <c r="J47" s="1098"/>
      <c r="K47" s="1098"/>
      <c r="L47" s="1098"/>
      <c r="M47" s="1098"/>
      <c r="N47" s="1098"/>
      <c r="O47" s="1098"/>
    </row>
    <row r="48" spans="2:17" x14ac:dyDescent="0.25">
      <c r="B48" s="752"/>
      <c r="C48" s="753">
        <v>46082</v>
      </c>
      <c r="D48" s="753">
        <v>46082</v>
      </c>
      <c r="E48" s="753" t="s">
        <v>496</v>
      </c>
      <c r="F48" s="753"/>
      <c r="G48" s="757"/>
      <c r="H48" s="757"/>
      <c r="I48" s="757"/>
      <c r="J48" s="757"/>
      <c r="K48" s="1115"/>
      <c r="L48" s="1115"/>
      <c r="M48" s="758"/>
      <c r="N48" s="758"/>
      <c r="O48" s="759"/>
    </row>
    <row r="49" spans="2:27" x14ac:dyDescent="0.25">
      <c r="B49" s="754"/>
      <c r="C49" s="788" t="s">
        <v>12</v>
      </c>
      <c r="D49" s="755" t="s">
        <v>13</v>
      </c>
      <c r="E49" s="760" t="s">
        <v>494</v>
      </c>
      <c r="F49" s="755" t="s">
        <v>495</v>
      </c>
      <c r="G49" s="761"/>
      <c r="H49" s="761"/>
      <c r="I49" s="761"/>
      <c r="J49" s="761"/>
      <c r="K49" s="1111"/>
      <c r="L49" s="1111"/>
      <c r="M49" s="761"/>
      <c r="N49" s="761"/>
      <c r="O49" s="762"/>
    </row>
    <row r="50" spans="2:27" ht="15.75" x14ac:dyDescent="0.25">
      <c r="B50" s="819" t="s">
        <v>491</v>
      </c>
      <c r="C50" s="820">
        <v>112999.88</v>
      </c>
      <c r="D50" s="820">
        <f>E11</f>
        <v>122894</v>
      </c>
      <c r="E50" s="833">
        <f>C50-D50</f>
        <v>-9894.1199999999953</v>
      </c>
      <c r="F50" s="963" t="s">
        <v>817</v>
      </c>
      <c r="G50" s="815"/>
      <c r="H50" s="815"/>
      <c r="I50" s="815"/>
    </row>
    <row r="51" spans="2:27" ht="15.75" x14ac:dyDescent="0.25">
      <c r="B51" s="819" t="s">
        <v>487</v>
      </c>
      <c r="C51" s="822">
        <v>3592.85</v>
      </c>
      <c r="D51" s="820">
        <f t="shared" ref="D51:D52" si="13">E12</f>
        <v>3446</v>
      </c>
      <c r="E51" s="833">
        <f>C51-D51</f>
        <v>146.84999999999991</v>
      </c>
      <c r="F51" s="963"/>
      <c r="G51" s="817"/>
      <c r="H51" s="817"/>
      <c r="I51" s="817"/>
      <c r="J51" s="763"/>
      <c r="R51" s="372" t="s">
        <v>531</v>
      </c>
      <c r="U51" s="372" t="s">
        <v>705</v>
      </c>
    </row>
    <row r="52" spans="2:27" s="764" customFormat="1" ht="15.75" x14ac:dyDescent="0.25">
      <c r="B52" s="819" t="s">
        <v>488</v>
      </c>
      <c r="C52" s="821">
        <v>8200.39</v>
      </c>
      <c r="D52" s="820">
        <f t="shared" si="13"/>
        <v>9493</v>
      </c>
      <c r="E52" s="833">
        <f>C52-D52</f>
        <v>-1292.6100000000006</v>
      </c>
      <c r="F52" s="963" t="s">
        <v>818</v>
      </c>
      <c r="G52" s="838"/>
      <c r="H52" s="838"/>
      <c r="I52" s="838"/>
      <c r="O52" s="765"/>
      <c r="R52" s="501" t="s">
        <v>532</v>
      </c>
      <c r="U52" s="956" t="s">
        <v>706</v>
      </c>
    </row>
    <row r="53" spans="2:27" ht="15.75" x14ac:dyDescent="0.25">
      <c r="B53" s="819" t="s">
        <v>489</v>
      </c>
      <c r="C53" s="825">
        <v>-47980.17</v>
      </c>
      <c r="D53" s="825">
        <f>E15</f>
        <v>-60885</v>
      </c>
      <c r="E53" s="833">
        <f>C53-D53</f>
        <v>12904.830000000002</v>
      </c>
      <c r="F53" s="963" t="s">
        <v>819</v>
      </c>
      <c r="G53" s="839"/>
      <c r="H53" s="839"/>
      <c r="I53" s="839"/>
      <c r="J53" s="766"/>
      <c r="R53" s="372" t="s">
        <v>533</v>
      </c>
    </row>
    <row r="54" spans="2:27" ht="15.75" x14ac:dyDescent="0.25">
      <c r="B54" s="819" t="s">
        <v>490</v>
      </c>
      <c r="C54" s="955">
        <v>-7500</v>
      </c>
      <c r="D54" s="955">
        <v>-7500</v>
      </c>
      <c r="E54" s="833">
        <f t="shared" ref="E54" si="14">C54-D54</f>
        <v>0</v>
      </c>
      <c r="F54" s="815"/>
      <c r="G54" s="815"/>
      <c r="H54" s="815"/>
      <c r="I54" s="816"/>
      <c r="P54" s="501"/>
    </row>
    <row r="55" spans="2:27" s="748" customFormat="1" ht="15.75" x14ac:dyDescent="0.25">
      <c r="B55" s="828" t="s">
        <v>86</v>
      </c>
      <c r="C55" s="829">
        <f>SUM(C50:C54)</f>
        <v>69312.950000000012</v>
      </c>
      <c r="D55" s="829">
        <f t="shared" ref="D55:E55" si="15">SUM(D50:D54)</f>
        <v>67448</v>
      </c>
      <c r="E55" s="829">
        <f t="shared" si="15"/>
        <v>1864.9500000000062</v>
      </c>
      <c r="F55" s="818" t="s">
        <v>821</v>
      </c>
      <c r="G55" s="818"/>
      <c r="H55" s="818"/>
      <c r="I55" s="818"/>
      <c r="O55" s="767"/>
    </row>
    <row r="56" spans="2:27" ht="15.75" x14ac:dyDescent="0.25">
      <c r="B56" s="819" t="s">
        <v>492</v>
      </c>
      <c r="C56" s="827">
        <f>E35</f>
        <v>-14381.380000000001</v>
      </c>
      <c r="D56" s="827">
        <f>E19</f>
        <v>-1200</v>
      </c>
      <c r="E56" s="840">
        <f>C56-D56</f>
        <v>-13181.380000000001</v>
      </c>
      <c r="F56" s="815" t="s">
        <v>820</v>
      </c>
      <c r="G56" s="815"/>
      <c r="H56" s="815"/>
      <c r="I56" s="815"/>
    </row>
    <row r="57" spans="2:27" ht="15.75" x14ac:dyDescent="0.25">
      <c r="B57" s="828" t="s">
        <v>715</v>
      </c>
      <c r="C57" s="1091">
        <f>C56+C55</f>
        <v>54931.570000000007</v>
      </c>
      <c r="D57" s="829">
        <f>D56+D55</f>
        <v>66248</v>
      </c>
      <c r="E57" s="1074">
        <f>C57-D57</f>
        <v>-11316.429999999993</v>
      </c>
      <c r="F57" s="815" t="s">
        <v>822</v>
      </c>
      <c r="G57" s="815"/>
      <c r="H57" s="815"/>
      <c r="I57" s="815"/>
    </row>
    <row r="59" spans="2:27" ht="15.75" thickBot="1" x14ac:dyDescent="0.3">
      <c r="B59" s="1116" t="s">
        <v>144</v>
      </c>
      <c r="C59" s="1116"/>
      <c r="D59" s="1116"/>
      <c r="E59" s="1116"/>
      <c r="F59" s="1116"/>
      <c r="G59" s="1116"/>
      <c r="H59" s="1116"/>
      <c r="I59" s="1116"/>
      <c r="J59" s="1116"/>
      <c r="K59" s="1116"/>
      <c r="L59" s="1116"/>
      <c r="M59" s="1116"/>
      <c r="N59" s="1116"/>
      <c r="O59" s="1116"/>
    </row>
    <row r="60" spans="2:27" ht="15" customHeight="1" thickBot="1" x14ac:dyDescent="0.3">
      <c r="B60" s="798"/>
      <c r="C60" s="799"/>
      <c r="D60" s="799"/>
      <c r="E60" s="799"/>
      <c r="F60" s="1108" t="s">
        <v>505</v>
      </c>
      <c r="G60" s="1109"/>
      <c r="H60" s="1110"/>
      <c r="I60" s="1112" t="s">
        <v>503</v>
      </c>
      <c r="J60" s="1113"/>
      <c r="K60" s="1114"/>
      <c r="L60" s="1105" t="s">
        <v>535</v>
      </c>
      <c r="M60" s="1106"/>
      <c r="N60" s="1107"/>
      <c r="O60" s="800" t="s">
        <v>504</v>
      </c>
      <c r="P60" s="749"/>
    </row>
    <row r="61" spans="2:27" ht="45.75" thickTop="1" x14ac:dyDescent="0.25">
      <c r="B61" s="798" t="s">
        <v>33</v>
      </c>
      <c r="C61" s="799" t="s">
        <v>35</v>
      </c>
      <c r="D61" s="799" t="s">
        <v>37</v>
      </c>
      <c r="E61" s="799" t="s">
        <v>38</v>
      </c>
      <c r="F61" s="801" t="s">
        <v>499</v>
      </c>
      <c r="G61" s="802" t="s">
        <v>500</v>
      </c>
      <c r="H61" s="803" t="s">
        <v>502</v>
      </c>
      <c r="I61" s="804" t="s">
        <v>28</v>
      </c>
      <c r="J61" s="805" t="s">
        <v>48</v>
      </c>
      <c r="K61" s="805" t="s">
        <v>497</v>
      </c>
      <c r="L61" s="806" t="s">
        <v>536</v>
      </c>
      <c r="M61" s="807" t="s">
        <v>537</v>
      </c>
      <c r="N61" s="807" t="s">
        <v>501</v>
      </c>
      <c r="O61" s="808" t="s">
        <v>513</v>
      </c>
      <c r="P61" s="749"/>
      <c r="Q61" s="795" t="s">
        <v>498</v>
      </c>
      <c r="R61" s="809"/>
      <c r="S61" s="809"/>
      <c r="T61" s="809"/>
      <c r="Y61" s="957" t="s">
        <v>707</v>
      </c>
    </row>
    <row r="62" spans="2:27" ht="15.75" x14ac:dyDescent="0.25">
      <c r="B62" s="852" t="s">
        <v>508</v>
      </c>
      <c r="C62" s="853">
        <v>1425</v>
      </c>
      <c r="D62" s="854">
        <v>31</v>
      </c>
      <c r="E62" s="854">
        <f>'I. LeaseUp Template'!G72</f>
        <v>16</v>
      </c>
      <c r="F62" s="855">
        <v>2468</v>
      </c>
      <c r="G62" s="856">
        <f t="shared" ref="G62:G67" si="16">F62/C62</f>
        <v>1.7319298245614034</v>
      </c>
      <c r="H62" s="857">
        <f>F62*E62</f>
        <v>39488</v>
      </c>
      <c r="I62" s="857">
        <v>2450</v>
      </c>
      <c r="J62" s="858">
        <f>I62/$C62</f>
        <v>1.7192982456140351</v>
      </c>
      <c r="K62" s="855">
        <f>I62*E62</f>
        <v>39200</v>
      </c>
      <c r="L62" s="859">
        <v>2450</v>
      </c>
      <c r="M62" s="856">
        <f>L62/$C62</f>
        <v>1.7192982456140351</v>
      </c>
      <c r="N62" s="857">
        <f>L62*E62</f>
        <v>39200</v>
      </c>
      <c r="O62" s="857">
        <f>N62-K62</f>
        <v>0</v>
      </c>
      <c r="P62" s="749"/>
      <c r="V62" s="372">
        <f>2450*13</f>
        <v>31850</v>
      </c>
      <c r="W62" s="372">
        <f>V62/365</f>
        <v>87.260273972602747</v>
      </c>
      <c r="Y62" s="372">
        <f>2450*12</f>
        <v>29400</v>
      </c>
      <c r="Z62" s="372">
        <f>Y62/52</f>
        <v>565.38461538461536</v>
      </c>
    </row>
    <row r="63" spans="2:27" ht="15.75" x14ac:dyDescent="0.25">
      <c r="B63" s="860" t="s">
        <v>509</v>
      </c>
      <c r="C63" s="861">
        <v>1635</v>
      </c>
      <c r="D63" s="862">
        <v>18</v>
      </c>
      <c r="E63" s="862">
        <f>'I. LeaseUp Template'!G73</f>
        <v>7</v>
      </c>
      <c r="F63" s="863">
        <v>2678</v>
      </c>
      <c r="G63" s="864">
        <f t="shared" si="16"/>
        <v>1.6379204892966361</v>
      </c>
      <c r="H63" s="865">
        <f t="shared" ref="H63:H67" si="17">F63*E63</f>
        <v>18746</v>
      </c>
      <c r="I63" s="865">
        <v>2650</v>
      </c>
      <c r="J63" s="864">
        <f>I63/$C63</f>
        <v>1.620795107033639</v>
      </c>
      <c r="K63" s="865">
        <f t="shared" ref="K63:K67" si="18">I63*E63</f>
        <v>18550</v>
      </c>
      <c r="L63" s="866">
        <v>2650</v>
      </c>
      <c r="M63" s="864">
        <f t="shared" ref="M63:M67" si="19">L63/$C63</f>
        <v>1.620795107033639</v>
      </c>
      <c r="N63" s="865">
        <f t="shared" ref="N63:N67" si="20">L63*E63</f>
        <v>18550</v>
      </c>
      <c r="O63" s="865">
        <f t="shared" ref="O63:O67" si="21">N63-K63</f>
        <v>0</v>
      </c>
      <c r="P63" s="749"/>
      <c r="W63" s="372">
        <f>6*W62*7</f>
        <v>3664.9315068493152</v>
      </c>
      <c r="Z63" s="372">
        <f>Z62*6</f>
        <v>3392.3076923076924</v>
      </c>
      <c r="AA63" s="372" t="s">
        <v>708</v>
      </c>
    </row>
    <row r="64" spans="2:27" ht="15.75" x14ac:dyDescent="0.25">
      <c r="B64" s="852" t="s">
        <v>506</v>
      </c>
      <c r="C64" s="853">
        <v>1685</v>
      </c>
      <c r="D64" s="854">
        <v>25</v>
      </c>
      <c r="E64" s="854">
        <f>'I. LeaseUp Template'!G74</f>
        <v>21</v>
      </c>
      <c r="F64" s="855">
        <v>2788</v>
      </c>
      <c r="G64" s="856">
        <f t="shared" si="16"/>
        <v>1.6545994065281899</v>
      </c>
      <c r="H64" s="857">
        <f t="shared" si="17"/>
        <v>58548</v>
      </c>
      <c r="I64" s="867">
        <v>2733</v>
      </c>
      <c r="J64" s="856">
        <f t="shared" ref="J64:J67" si="22">I64/$C64</f>
        <v>1.6219584569732937</v>
      </c>
      <c r="K64" s="857">
        <f>I64*E64</f>
        <v>57393</v>
      </c>
      <c r="L64" s="868">
        <v>2748.48</v>
      </c>
      <c r="M64" s="856">
        <f t="shared" si="19"/>
        <v>1.6311454005934718</v>
      </c>
      <c r="N64" s="857">
        <f>L64*E64</f>
        <v>57718.080000000002</v>
      </c>
      <c r="O64" s="857">
        <v>-400</v>
      </c>
      <c r="P64" s="749" t="s">
        <v>534</v>
      </c>
      <c r="V64" s="785">
        <f>I62-W64</f>
        <v>2168.0821917808221</v>
      </c>
      <c r="W64" s="372">
        <f>W63/13</f>
        <v>281.91780821917808</v>
      </c>
      <c r="Z64" s="372">
        <f>2450*13</f>
        <v>31850</v>
      </c>
      <c r="AA64" s="372" t="s">
        <v>709</v>
      </c>
    </row>
    <row r="65" spans="1:31" ht="15.75" x14ac:dyDescent="0.25">
      <c r="B65" s="860" t="s">
        <v>507</v>
      </c>
      <c r="C65" s="861">
        <v>1852</v>
      </c>
      <c r="D65" s="862">
        <v>21</v>
      </c>
      <c r="E65" s="862">
        <f>'I. LeaseUp Template'!G75</f>
        <v>8</v>
      </c>
      <c r="F65" s="863">
        <v>2971</v>
      </c>
      <c r="G65" s="864">
        <f t="shared" si="16"/>
        <v>1.6042116630669547</v>
      </c>
      <c r="H65" s="865">
        <f t="shared" si="17"/>
        <v>23768</v>
      </c>
      <c r="I65" s="869">
        <f>C125</f>
        <v>2928.4285714285716</v>
      </c>
      <c r="J65" s="864">
        <f t="shared" si="22"/>
        <v>1.5812249305769825</v>
      </c>
      <c r="K65" s="865">
        <f t="shared" si="18"/>
        <v>23427.428571428572</v>
      </c>
      <c r="L65" s="870">
        <v>2874.5</v>
      </c>
      <c r="M65" s="864">
        <f t="shared" si="19"/>
        <v>1.5521058315334773</v>
      </c>
      <c r="N65" s="865">
        <f t="shared" si="20"/>
        <v>22996</v>
      </c>
      <c r="O65" s="865">
        <v>0</v>
      </c>
      <c r="P65" s="749" t="s">
        <v>534</v>
      </c>
      <c r="V65" s="776">
        <f>V64*12</f>
        <v>26016.986301369863</v>
      </c>
      <c r="W65" s="372">
        <f>W64*12</f>
        <v>3383.0136986301368</v>
      </c>
      <c r="Z65" s="372">
        <f>Z64-Z63</f>
        <v>28457.692307692309</v>
      </c>
    </row>
    <row r="66" spans="1:31" ht="15.75" x14ac:dyDescent="0.25">
      <c r="B66" s="852" t="s">
        <v>510</v>
      </c>
      <c r="C66" s="853">
        <v>1909</v>
      </c>
      <c r="D66" s="854">
        <v>16</v>
      </c>
      <c r="E66" s="854">
        <f>'I. LeaseUp Template'!G76</f>
        <v>3</v>
      </c>
      <c r="F66" s="871">
        <v>3150</v>
      </c>
      <c r="G66" s="856">
        <f t="shared" si="16"/>
        <v>1.6500785751702463</v>
      </c>
      <c r="H66" s="857">
        <f t="shared" si="17"/>
        <v>9450</v>
      </c>
      <c r="I66" s="857">
        <v>3150</v>
      </c>
      <c r="J66" s="856">
        <f t="shared" si="22"/>
        <v>1.6500785751702463</v>
      </c>
      <c r="K66" s="857">
        <f t="shared" si="18"/>
        <v>9450</v>
      </c>
      <c r="L66" s="859">
        <v>3150</v>
      </c>
      <c r="M66" s="856">
        <f t="shared" si="19"/>
        <v>1.6500785751702463</v>
      </c>
      <c r="N66" s="857">
        <f t="shared" si="20"/>
        <v>9450</v>
      </c>
      <c r="O66" s="857">
        <f t="shared" si="21"/>
        <v>0</v>
      </c>
      <c r="P66" s="749"/>
      <c r="V66" s="776"/>
      <c r="Z66" s="958">
        <f>Z65/13</f>
        <v>2189.0532544378698</v>
      </c>
      <c r="AA66" s="748" t="s">
        <v>710</v>
      </c>
      <c r="AD66" s="776">
        <f>(2450-Z66)*12</f>
        <v>3131.3609467455626</v>
      </c>
      <c r="AE66" s="776"/>
    </row>
    <row r="67" spans="1:31" ht="16.5" thickBot="1" x14ac:dyDescent="0.3">
      <c r="B67" s="872" t="s">
        <v>511</v>
      </c>
      <c r="C67" s="873">
        <v>2431</v>
      </c>
      <c r="D67" s="874">
        <v>6</v>
      </c>
      <c r="E67" s="874">
        <f>'I. LeaseUp Template'!G77</f>
        <v>2</v>
      </c>
      <c r="F67" s="875">
        <v>3600</v>
      </c>
      <c r="G67" s="876">
        <f t="shared" si="16"/>
        <v>1.4808720691073631</v>
      </c>
      <c r="H67" s="877">
        <f t="shared" si="17"/>
        <v>7200</v>
      </c>
      <c r="I67" s="877">
        <v>3600</v>
      </c>
      <c r="J67" s="876">
        <f t="shared" si="22"/>
        <v>1.4808720691073631</v>
      </c>
      <c r="K67" s="877">
        <f t="shared" si="18"/>
        <v>7200</v>
      </c>
      <c r="L67" s="878">
        <v>3600</v>
      </c>
      <c r="M67" s="876">
        <f t="shared" si="19"/>
        <v>1.4808720691073631</v>
      </c>
      <c r="N67" s="877">
        <f t="shared" si="20"/>
        <v>7200</v>
      </c>
      <c r="O67" s="877">
        <f t="shared" si="21"/>
        <v>0</v>
      </c>
      <c r="P67" s="749"/>
      <c r="Z67" s="776"/>
    </row>
    <row r="68" spans="1:31" ht="15.75" x14ac:dyDescent="0.25">
      <c r="B68" s="852" t="s">
        <v>76</v>
      </c>
      <c r="C68" s="879">
        <f>((C62*D62)+(C63*D63)+(C64*D64)+(C65*D65)+(C66*D66)+(C67*D67))/D68</f>
        <v>1707.2820512820513</v>
      </c>
      <c r="D68" s="880">
        <f>SUM(D62:D67)</f>
        <v>117</v>
      </c>
      <c r="E68" s="880">
        <f>SUM(E62:E67)</f>
        <v>57</v>
      </c>
      <c r="F68" s="897">
        <f>SUMPRODUCT(F62:F67,$D$62:$D$67)/$D$68</f>
        <v>2810.2820512820513</v>
      </c>
      <c r="G68" s="881">
        <f>SUMPRODUCT(G62:G67,$D$62:$D$67)/$D$68</f>
        <v>1.6539513937924948</v>
      </c>
      <c r="H68" s="882">
        <f>SUM(H62:H67)</f>
        <v>157200</v>
      </c>
      <c r="I68" s="897">
        <f>SUMPRODUCT(I62:I67,$D$62:$D$67)/$D$68</f>
        <v>2781.8119658119658</v>
      </c>
      <c r="J68" s="881">
        <f>SUMPRODUCT(J62:J67,$D$62:$D$67)/$D$68</f>
        <v>1.6368695053372451</v>
      </c>
      <c r="K68" s="882">
        <f>SUM(K62:K67)</f>
        <v>155220.42857142858</v>
      </c>
      <c r="L68" s="897">
        <f>SUMPRODUCT(L62:L67,$D$62:$D$67)/$D$68</f>
        <v>2775.4401709401709</v>
      </c>
      <c r="M68" s="881">
        <f>SUMPRODUCT(M62:M67,$D$62:$D$67)/$D$68</f>
        <v>1.6336060225217823</v>
      </c>
      <c r="N68" s="882">
        <f>SUM(N62:N67)</f>
        <v>155114.08000000002</v>
      </c>
      <c r="O68" s="882">
        <f>SUM(O62:O67)</f>
        <v>-400</v>
      </c>
      <c r="P68" s="810"/>
      <c r="Y68" s="372" t="s">
        <v>713</v>
      </c>
    </row>
    <row r="69" spans="1:31" s="811" customFormat="1" x14ac:dyDescent="0.25">
      <c r="B69" s="811" t="s">
        <v>512</v>
      </c>
      <c r="C69" s="812"/>
      <c r="D69" s="812"/>
      <c r="E69" s="812"/>
      <c r="F69" s="812"/>
      <c r="G69" s="812"/>
      <c r="H69" s="812"/>
      <c r="I69" s="812"/>
      <c r="J69" s="812"/>
      <c r="K69" s="812"/>
      <c r="L69" s="812"/>
      <c r="O69" s="813"/>
      <c r="Y69" s="811">
        <f>2450*1</f>
        <v>2450</v>
      </c>
      <c r="Z69" s="959">
        <f>Y69*12/52</f>
        <v>565.38461538461536</v>
      </c>
      <c r="AA69" s="811" t="s">
        <v>711</v>
      </c>
    </row>
    <row r="70" spans="1:31" s="811" customFormat="1" x14ac:dyDescent="0.25">
      <c r="C70" s="812"/>
      <c r="D70" s="812"/>
      <c r="E70" s="812"/>
      <c r="F70" s="812"/>
      <c r="G70" s="812"/>
      <c r="H70" s="812"/>
      <c r="I70" s="812"/>
      <c r="J70" s="812"/>
      <c r="K70" s="812"/>
      <c r="L70" s="812"/>
      <c r="O70" s="813"/>
      <c r="V70" s="811">
        <f>2450*0.9</f>
        <v>2205</v>
      </c>
      <c r="Z70" s="960">
        <f>Z69*6</f>
        <v>3392.3076923076924</v>
      </c>
    </row>
    <row r="71" spans="1:31" x14ac:dyDescent="0.25">
      <c r="B71" s="769" t="s">
        <v>495</v>
      </c>
      <c r="C71" s="770"/>
      <c r="D71" s="770"/>
      <c r="E71" s="770"/>
      <c r="F71" s="770"/>
      <c r="G71" s="770"/>
      <c r="H71" s="770"/>
      <c r="I71" s="770"/>
      <c r="J71" s="770"/>
      <c r="K71" s="770"/>
      <c r="L71" s="770"/>
      <c r="M71" s="771"/>
      <c r="N71" s="771"/>
      <c r="O71" s="772"/>
      <c r="V71" s="372">
        <v>100</v>
      </c>
      <c r="W71" s="372" t="s">
        <v>714</v>
      </c>
      <c r="Z71" s="372">
        <f>Y69*13</f>
        <v>31850</v>
      </c>
    </row>
    <row r="72" spans="1:31" ht="15" customHeight="1" x14ac:dyDescent="0.3">
      <c r="B72" s="841" t="s">
        <v>698</v>
      </c>
      <c r="C72" s="774"/>
      <c r="D72" s="774"/>
      <c r="E72" s="774"/>
      <c r="F72" s="774"/>
      <c r="G72" s="774"/>
      <c r="H72" s="774"/>
      <c r="I72" s="774"/>
      <c r="J72" s="774"/>
      <c r="K72" s="774"/>
      <c r="L72" s="774"/>
      <c r="M72" s="774"/>
      <c r="N72" s="774"/>
      <c r="O72" s="774"/>
      <c r="V72" s="372">
        <f>V70-V71</f>
        <v>2105</v>
      </c>
      <c r="Z72" s="776">
        <f>Z71-Z70</f>
        <v>28457.692307692309</v>
      </c>
    </row>
    <row r="73" spans="1:31" ht="17.25" x14ac:dyDescent="0.3">
      <c r="B73" s="841" t="s">
        <v>522</v>
      </c>
      <c r="C73" s="774"/>
      <c r="D73" s="774"/>
      <c r="E73" s="774"/>
      <c r="F73" s="774"/>
      <c r="G73" s="774"/>
      <c r="H73" s="774"/>
      <c r="I73" s="774"/>
      <c r="J73" s="774"/>
      <c r="K73" s="774"/>
      <c r="L73" s="774"/>
      <c r="M73" s="774"/>
      <c r="N73" s="774"/>
      <c r="O73" s="774"/>
      <c r="V73" s="372">
        <f>V72/2450</f>
        <v>0.85918367346938773</v>
      </c>
      <c r="Z73" s="961">
        <f>Z72/13</f>
        <v>2189.0532544378698</v>
      </c>
      <c r="AA73" s="372" t="s">
        <v>712</v>
      </c>
    </row>
    <row r="74" spans="1:31" ht="6.75" customHeight="1" x14ac:dyDescent="0.3">
      <c r="B74" s="842"/>
      <c r="C74" s="774"/>
      <c r="D74" s="774"/>
      <c r="E74" s="774"/>
      <c r="F74" s="774"/>
      <c r="G74" s="774"/>
      <c r="H74" s="774"/>
      <c r="I74" s="774"/>
      <c r="J74" s="774"/>
      <c r="K74" s="774"/>
      <c r="L74" s="774"/>
      <c r="M74" s="774"/>
      <c r="N74" s="774"/>
      <c r="O74" s="774"/>
    </row>
    <row r="75" spans="1:31" ht="17.25" x14ac:dyDescent="0.3">
      <c r="B75" s="841"/>
      <c r="C75" s="763"/>
      <c r="D75" s="763"/>
      <c r="E75" s="763"/>
      <c r="F75" s="763"/>
      <c r="G75" s="763"/>
      <c r="H75" s="763"/>
      <c r="I75" s="763"/>
      <c r="J75" s="763"/>
      <c r="K75" s="763"/>
      <c r="L75" s="763"/>
      <c r="Z75" s="962">
        <f>Z73/2450-1</f>
        <v>-0.10650887573964496</v>
      </c>
    </row>
    <row r="76" spans="1:31" ht="5.25" customHeight="1" x14ac:dyDescent="0.3">
      <c r="B76" s="843"/>
      <c r="C76" s="763"/>
      <c r="D76" s="763"/>
      <c r="E76" s="763"/>
      <c r="F76" s="763"/>
      <c r="G76" s="763"/>
      <c r="H76" s="763"/>
      <c r="I76" s="763"/>
      <c r="J76" s="763"/>
      <c r="K76" s="763"/>
      <c r="L76" s="763"/>
      <c r="M76" s="763"/>
      <c r="N76" s="763"/>
    </row>
    <row r="77" spans="1:31" x14ac:dyDescent="0.25">
      <c r="C77" s="763"/>
      <c r="D77" s="763"/>
      <c r="E77" s="763"/>
      <c r="F77" s="763"/>
      <c r="G77" s="763"/>
      <c r="H77" s="763"/>
      <c r="I77" s="763"/>
      <c r="J77" s="763"/>
      <c r="K77" s="763"/>
      <c r="L77" s="763"/>
      <c r="M77" s="763"/>
      <c r="N77" s="763"/>
      <c r="Z77" s="776">
        <f>2450-Z73</f>
        <v>260.94674556213022</v>
      </c>
    </row>
    <row r="78" spans="1:31" x14ac:dyDescent="0.25">
      <c r="C78" s="763"/>
      <c r="D78" s="763"/>
      <c r="E78" s="763"/>
      <c r="F78" s="763"/>
      <c r="G78" s="763"/>
      <c r="H78" s="763"/>
      <c r="I78" s="763"/>
      <c r="J78" s="763"/>
      <c r="K78" s="763"/>
      <c r="L78" s="763"/>
      <c r="M78" s="763"/>
      <c r="N78" s="763"/>
    </row>
    <row r="79" spans="1:31" ht="16.5" thickBot="1" x14ac:dyDescent="0.3">
      <c r="A79" s="939"/>
      <c r="B79" s="1098" t="s">
        <v>547</v>
      </c>
      <c r="C79" s="1098"/>
      <c r="D79" s="1098"/>
      <c r="E79" s="1098"/>
      <c r="F79" s="1098"/>
      <c r="G79" s="1098"/>
      <c r="H79" s="1098"/>
      <c r="I79" s="1098"/>
      <c r="J79" s="1098"/>
      <c r="K79" s="1098"/>
      <c r="L79" s="1098"/>
      <c r="M79" s="1098"/>
      <c r="N79" s="1098"/>
      <c r="O79" s="1098"/>
    </row>
    <row r="80" spans="1:31" x14ac:dyDescent="0.25">
      <c r="B80" s="775" t="s">
        <v>538</v>
      </c>
      <c r="C80" s="763" t="s">
        <v>539</v>
      </c>
      <c r="D80" s="763"/>
      <c r="E80" s="763"/>
      <c r="F80" s="763"/>
      <c r="G80" s="763"/>
      <c r="H80" s="763"/>
      <c r="I80" s="763"/>
      <c r="J80" s="763"/>
      <c r="K80" s="751"/>
      <c r="L80" s="751" t="s">
        <v>540</v>
      </c>
      <c r="M80" s="763"/>
      <c r="N80" s="763"/>
    </row>
    <row r="81" spans="2:19" ht="17.25" x14ac:dyDescent="0.3">
      <c r="B81" s="841" t="s">
        <v>541</v>
      </c>
      <c r="C81" s="1099" t="s">
        <v>807</v>
      </c>
      <c r="D81" s="1099"/>
      <c r="E81" s="1099"/>
      <c r="F81" s="1099"/>
      <c r="G81" s="1099"/>
      <c r="H81" s="1099"/>
      <c r="I81" s="1099"/>
      <c r="J81" s="1099"/>
      <c r="K81" s="1099"/>
      <c r="L81" s="1101" t="s">
        <v>808</v>
      </c>
      <c r="M81" s="1101"/>
      <c r="N81" s="1101"/>
      <c r="O81" s="1101"/>
    </row>
    <row r="82" spans="2:19" ht="17.25" x14ac:dyDescent="0.3">
      <c r="B82" s="841"/>
      <c r="C82" s="1099"/>
      <c r="D82" s="1099"/>
      <c r="E82" s="1099"/>
      <c r="F82" s="1099"/>
      <c r="G82" s="1099"/>
      <c r="H82" s="1099"/>
      <c r="I82" s="1099"/>
      <c r="J82" s="1099"/>
      <c r="K82" s="1099"/>
      <c r="L82" s="1101"/>
      <c r="M82" s="1101"/>
      <c r="N82" s="1101"/>
      <c r="O82" s="1101"/>
    </row>
    <row r="83" spans="2:19" ht="17.25" x14ac:dyDescent="0.3">
      <c r="B83" s="848"/>
      <c r="C83" s="1100"/>
      <c r="D83" s="1100"/>
      <c r="E83" s="1100"/>
      <c r="F83" s="1100"/>
      <c r="G83" s="1100"/>
      <c r="H83" s="1100"/>
      <c r="I83" s="1100"/>
      <c r="J83" s="1100"/>
      <c r="K83" s="1100"/>
      <c r="L83" s="1102"/>
      <c r="M83" s="1102"/>
      <c r="N83" s="1102"/>
      <c r="O83" s="1102"/>
    </row>
    <row r="84" spans="2:19" ht="17.25" customHeight="1" x14ac:dyDescent="0.3">
      <c r="B84" s="841" t="s">
        <v>542</v>
      </c>
      <c r="C84" s="1103" t="s">
        <v>832</v>
      </c>
      <c r="D84" s="1103"/>
      <c r="E84" s="1103"/>
      <c r="F84" s="1103"/>
      <c r="G84" s="1103"/>
      <c r="H84" s="1103"/>
      <c r="I84" s="1103"/>
      <c r="J84" s="1103"/>
      <c r="K84" s="1103"/>
      <c r="L84" s="1092" t="s">
        <v>831</v>
      </c>
      <c r="M84" s="1092"/>
      <c r="N84" s="1092"/>
      <c r="O84" s="1092"/>
    </row>
    <row r="85" spans="2:19" ht="17.25" x14ac:dyDescent="0.3">
      <c r="B85" s="841" t="s">
        <v>543</v>
      </c>
      <c r="C85" s="1099"/>
      <c r="D85" s="1099"/>
      <c r="E85" s="1099"/>
      <c r="F85" s="1099"/>
      <c r="G85" s="1099"/>
      <c r="H85" s="1099"/>
      <c r="I85" s="1099"/>
      <c r="J85" s="1099"/>
      <c r="K85" s="1099"/>
      <c r="L85" s="1101"/>
      <c r="M85" s="1101"/>
      <c r="N85" s="1101"/>
      <c r="O85" s="1101"/>
    </row>
    <row r="86" spans="2:19" ht="31.5" customHeight="1" x14ac:dyDescent="0.3">
      <c r="B86" s="848"/>
      <c r="C86" s="847"/>
      <c r="D86" s="849"/>
      <c r="E86" s="849"/>
      <c r="F86" s="849"/>
      <c r="G86" s="849"/>
      <c r="H86" s="849"/>
      <c r="I86" s="849"/>
      <c r="J86" s="849"/>
      <c r="K86" s="851"/>
      <c r="L86" s="851"/>
      <c r="M86" s="849"/>
      <c r="N86" s="849"/>
      <c r="O86" s="850"/>
    </row>
    <row r="87" spans="2:19" ht="17.25" x14ac:dyDescent="0.3">
      <c r="B87" s="841" t="s">
        <v>717</v>
      </c>
      <c r="C87" s="844" t="s">
        <v>723</v>
      </c>
      <c r="D87" s="845"/>
      <c r="E87" s="845"/>
      <c r="F87" s="845"/>
      <c r="G87" s="845"/>
      <c r="H87" s="845"/>
      <c r="I87" s="845"/>
      <c r="J87" s="845"/>
      <c r="K87" s="843"/>
      <c r="L87" s="843" t="s">
        <v>765</v>
      </c>
      <c r="M87" s="845"/>
      <c r="N87" s="845"/>
      <c r="O87" s="846"/>
      <c r="Q87" s="372">
        <f>229852.75-60000</f>
        <v>169852.75</v>
      </c>
      <c r="R87" s="768">
        <f>229852.75</f>
        <v>229852.75</v>
      </c>
    </row>
    <row r="88" spans="2:19" ht="17.25" x14ac:dyDescent="0.3">
      <c r="B88" s="841"/>
      <c r="C88" s="844" t="s">
        <v>724</v>
      </c>
      <c r="D88" s="845"/>
      <c r="E88" s="845"/>
      <c r="F88" s="845"/>
      <c r="G88" s="845"/>
      <c r="H88" s="845"/>
      <c r="I88" s="845"/>
      <c r="J88" s="845"/>
      <c r="K88" s="843"/>
      <c r="L88" s="843" t="s">
        <v>766</v>
      </c>
      <c r="M88" s="845"/>
      <c r="N88" s="845"/>
      <c r="O88" s="846"/>
      <c r="R88" s="768"/>
    </row>
    <row r="89" spans="2:19" ht="17.25" x14ac:dyDescent="0.3">
      <c r="B89" s="841"/>
      <c r="C89" s="844" t="s">
        <v>725</v>
      </c>
      <c r="D89" s="845"/>
      <c r="E89" s="845"/>
      <c r="F89" s="845"/>
      <c r="G89" s="845"/>
      <c r="H89" s="845"/>
      <c r="I89" s="845"/>
      <c r="J89" s="845"/>
      <c r="K89" s="843"/>
      <c r="L89" s="843" t="s">
        <v>767</v>
      </c>
      <c r="M89" s="845"/>
      <c r="N89" s="845"/>
      <c r="O89" s="846"/>
      <c r="Q89" s="372">
        <f>Q87/2</f>
        <v>84926.375</v>
      </c>
      <c r="R89" s="768">
        <f>R87/2</f>
        <v>114926.375</v>
      </c>
    </row>
    <row r="90" spans="2:19" ht="17.25" x14ac:dyDescent="0.3">
      <c r="B90" s="848"/>
      <c r="C90" s="847"/>
      <c r="D90" s="849"/>
      <c r="E90" s="849"/>
      <c r="F90" s="849"/>
      <c r="G90" s="849"/>
      <c r="H90" s="849"/>
      <c r="I90" s="849"/>
      <c r="J90" s="849"/>
      <c r="K90" s="851"/>
      <c r="L90" s="851"/>
      <c r="M90" s="849"/>
      <c r="N90" s="849"/>
      <c r="O90" s="850"/>
      <c r="R90" s="776">
        <f>R89-30000</f>
        <v>84926.375</v>
      </c>
      <c r="S90" s="372" t="s">
        <v>544</v>
      </c>
    </row>
    <row r="91" spans="2:19" ht="17.25" x14ac:dyDescent="0.3">
      <c r="B91" s="841" t="s">
        <v>548</v>
      </c>
      <c r="C91" s="995" t="s">
        <v>716</v>
      </c>
      <c r="D91" s="988"/>
      <c r="E91" s="988"/>
      <c r="F91" s="988"/>
      <c r="G91" s="988"/>
      <c r="H91" s="988"/>
      <c r="I91" s="988"/>
      <c r="J91" s="988"/>
      <c r="K91" s="988"/>
      <c r="L91" s="844" t="s">
        <v>835</v>
      </c>
      <c r="M91" s="763"/>
      <c r="N91" s="763"/>
      <c r="O91" s="814"/>
      <c r="R91" s="776"/>
    </row>
    <row r="92" spans="2:19" ht="17.25" x14ac:dyDescent="0.3">
      <c r="B92" s="841" t="s">
        <v>549</v>
      </c>
      <c r="C92" s="989"/>
      <c r="D92" s="989"/>
      <c r="E92" s="989"/>
      <c r="F92" s="989"/>
      <c r="G92" s="989"/>
      <c r="H92" s="989"/>
      <c r="I92" s="989"/>
      <c r="J92" s="989"/>
      <c r="K92" s="989"/>
      <c r="L92" s="893"/>
      <c r="M92" s="763"/>
      <c r="N92" s="763"/>
      <c r="R92" s="776"/>
    </row>
    <row r="93" spans="2:19" ht="17.25" x14ac:dyDescent="0.3">
      <c r="B93" s="990"/>
      <c r="C93" s="991"/>
      <c r="D93" s="992"/>
      <c r="E93" s="992"/>
      <c r="F93" s="992"/>
      <c r="G93" s="992"/>
      <c r="H93" s="992"/>
      <c r="I93" s="992"/>
      <c r="J93" s="992"/>
      <c r="K93" s="993"/>
      <c r="L93" s="993"/>
      <c r="M93" s="992"/>
      <c r="N93" s="992"/>
      <c r="O93" s="994"/>
      <c r="R93" s="776"/>
    </row>
    <row r="94" spans="2:19" ht="17.25" customHeight="1" x14ac:dyDescent="0.25">
      <c r="B94" s="1013"/>
      <c r="C94" s="1092"/>
      <c r="D94" s="1093"/>
      <c r="E94" s="1093"/>
      <c r="F94" s="1093"/>
      <c r="G94" s="1093"/>
      <c r="H94" s="1093"/>
      <c r="I94" s="1093"/>
      <c r="J94" s="1093"/>
      <c r="K94" s="1093"/>
      <c r="L94" s="1092"/>
      <c r="M94" s="1093"/>
      <c r="N94" s="1093"/>
      <c r="O94" s="1093"/>
      <c r="R94" s="776"/>
    </row>
    <row r="95" spans="2:19" ht="17.25" x14ac:dyDescent="0.3">
      <c r="B95" s="841"/>
      <c r="C95" s="1094"/>
      <c r="D95" s="1094"/>
      <c r="E95" s="1094"/>
      <c r="F95" s="1094"/>
      <c r="G95" s="1094"/>
      <c r="H95" s="1094"/>
      <c r="I95" s="1094"/>
      <c r="J95" s="1094"/>
      <c r="K95" s="1094"/>
      <c r="L95" s="1094"/>
      <c r="M95" s="1094"/>
      <c r="N95" s="1094"/>
      <c r="O95" s="1094"/>
      <c r="R95" s="776"/>
    </row>
    <row r="96" spans="2:19" ht="17.25" x14ac:dyDescent="0.3">
      <c r="B96" s="841"/>
      <c r="C96" s="1094"/>
      <c r="D96" s="1094"/>
      <c r="E96" s="1094"/>
      <c r="F96" s="1094"/>
      <c r="G96" s="1094"/>
      <c r="H96" s="1094"/>
      <c r="I96" s="1094"/>
      <c r="J96" s="1094"/>
      <c r="K96" s="1094"/>
      <c r="L96" s="1094"/>
      <c r="M96" s="1094"/>
      <c r="N96" s="1094"/>
      <c r="O96" s="1094"/>
      <c r="R96" s="776"/>
    </row>
    <row r="97" spans="2:21" ht="38.25" customHeight="1" x14ac:dyDescent="0.3">
      <c r="B97" s="848"/>
      <c r="C97" s="1095"/>
      <c r="D97" s="1095"/>
      <c r="E97" s="1095"/>
      <c r="F97" s="1095"/>
      <c r="G97" s="1095"/>
      <c r="H97" s="1095"/>
      <c r="I97" s="1095"/>
      <c r="J97" s="1095"/>
      <c r="K97" s="1095"/>
      <c r="L97" s="1095"/>
      <c r="M97" s="1095"/>
      <c r="N97" s="1095"/>
      <c r="O97" s="1095"/>
      <c r="R97" s="776"/>
    </row>
    <row r="98" spans="2:21" ht="17.25" x14ac:dyDescent="0.3">
      <c r="B98" s="841"/>
      <c r="C98" s="989"/>
      <c r="D98" s="989"/>
      <c r="E98" s="989"/>
      <c r="F98" s="989"/>
      <c r="G98" s="989"/>
      <c r="H98" s="989"/>
      <c r="I98" s="989"/>
      <c r="J98" s="989"/>
      <c r="K98" s="989"/>
      <c r="L98" s="893"/>
      <c r="M98" s="763"/>
      <c r="N98" s="763"/>
      <c r="R98" s="776"/>
    </row>
    <row r="99" spans="2:21" ht="17.25" x14ac:dyDescent="0.3">
      <c r="B99" s="841"/>
      <c r="C99" s="989"/>
      <c r="D99" s="989"/>
      <c r="E99" s="989"/>
      <c r="F99" s="989"/>
      <c r="G99" s="989"/>
      <c r="H99" s="989"/>
      <c r="I99" s="989"/>
      <c r="J99" s="989"/>
      <c r="K99" s="989"/>
      <c r="L99" s="893"/>
      <c r="M99" s="763"/>
      <c r="N99" s="763"/>
      <c r="R99" s="776"/>
    </row>
    <row r="100" spans="2:21" x14ac:dyDescent="0.25">
      <c r="B100" s="773"/>
      <c r="C100" s="501"/>
      <c r="D100" s="763"/>
      <c r="E100" s="763"/>
      <c r="F100" s="763"/>
      <c r="G100" s="763"/>
      <c r="H100" s="763"/>
      <c r="I100" s="763"/>
      <c r="J100" s="763"/>
      <c r="L100" s="763"/>
      <c r="M100" s="763"/>
      <c r="N100" s="763"/>
      <c r="R100" s="776"/>
    </row>
    <row r="101" spans="2:21" x14ac:dyDescent="0.25">
      <c r="B101" s="773"/>
      <c r="C101" s="763"/>
      <c r="D101" s="763"/>
      <c r="E101" s="763"/>
      <c r="F101" s="763"/>
      <c r="G101" s="763"/>
      <c r="H101" s="763"/>
      <c r="I101" s="763"/>
      <c r="J101" s="763"/>
      <c r="K101" s="372" t="s">
        <v>753</v>
      </c>
      <c r="L101" s="763"/>
      <c r="M101" s="763"/>
      <c r="N101" s="763"/>
      <c r="R101" s="776"/>
    </row>
    <row r="102" spans="2:21" x14ac:dyDescent="0.25">
      <c r="B102" s="773"/>
      <c r="C102" s="1096" t="s">
        <v>517</v>
      </c>
      <c r="D102" s="1096"/>
      <c r="E102" s="763"/>
      <c r="H102" s="1096" t="s">
        <v>519</v>
      </c>
      <c r="I102" s="1096"/>
      <c r="J102" s="763"/>
      <c r="K102" s="763"/>
      <c r="L102" s="763"/>
      <c r="M102" s="763"/>
      <c r="N102" s="763"/>
    </row>
    <row r="103" spans="2:21" x14ac:dyDescent="0.25">
      <c r="B103" s="751"/>
      <c r="C103" s="763" t="s">
        <v>514</v>
      </c>
      <c r="D103" s="763" t="s">
        <v>516</v>
      </c>
      <c r="E103" s="763"/>
      <c r="H103" s="777">
        <v>2750</v>
      </c>
      <c r="I103" s="777">
        <f>H103</f>
        <v>2750</v>
      </c>
      <c r="J103" s="763"/>
      <c r="K103" s="763"/>
      <c r="L103" s="763"/>
      <c r="M103" s="763"/>
      <c r="N103" s="763"/>
    </row>
    <row r="104" spans="2:21" x14ac:dyDescent="0.25">
      <c r="B104" s="751">
        <v>1</v>
      </c>
      <c r="C104" s="777">
        <v>2950</v>
      </c>
      <c r="D104" s="777">
        <f>C104</f>
        <v>2950</v>
      </c>
      <c r="E104" s="763"/>
      <c r="H104" s="777">
        <v>2750</v>
      </c>
      <c r="I104" s="777">
        <f>H104</f>
        <v>2750</v>
      </c>
      <c r="J104" s="763"/>
      <c r="K104" s="763"/>
      <c r="L104" s="763"/>
      <c r="M104" s="763"/>
      <c r="N104" s="763"/>
    </row>
    <row r="105" spans="2:21" x14ac:dyDescent="0.25">
      <c r="B105" s="751">
        <v>2</v>
      </c>
      <c r="C105" s="777">
        <v>2950</v>
      </c>
      <c r="D105" s="777">
        <f>C105</f>
        <v>2950</v>
      </c>
      <c r="E105" s="763"/>
      <c r="H105" s="777">
        <v>2750</v>
      </c>
      <c r="I105" s="777">
        <f t="shared" ref="I105:I120" si="23">H105</f>
        <v>2750</v>
      </c>
      <c r="J105" s="763"/>
      <c r="K105" s="763"/>
      <c r="L105" s="763"/>
      <c r="M105" s="763"/>
      <c r="N105" s="763"/>
    </row>
    <row r="106" spans="2:21" x14ac:dyDescent="0.25">
      <c r="B106" s="763">
        <f t="shared" ref="B106:B123" si="24">B105+1</f>
        <v>3</v>
      </c>
      <c r="C106" s="777">
        <v>2950</v>
      </c>
      <c r="D106" s="777">
        <v>2950</v>
      </c>
      <c r="E106" s="763"/>
      <c r="H106" s="777">
        <v>2750</v>
      </c>
      <c r="I106" s="777">
        <f t="shared" si="23"/>
        <v>2750</v>
      </c>
      <c r="J106" s="763"/>
      <c r="K106" s="763"/>
      <c r="L106" s="763"/>
      <c r="M106" s="763"/>
      <c r="N106" s="763"/>
    </row>
    <row r="107" spans="2:21" x14ac:dyDescent="0.25">
      <c r="B107" s="965">
        <f t="shared" si="24"/>
        <v>4</v>
      </c>
      <c r="C107" s="777">
        <v>2950</v>
      </c>
      <c r="D107" s="964">
        <v>2950</v>
      </c>
      <c r="E107" s="779"/>
      <c r="H107" s="777">
        <v>2750</v>
      </c>
      <c r="I107" s="777">
        <f t="shared" si="23"/>
        <v>2750</v>
      </c>
    </row>
    <row r="108" spans="2:21" x14ac:dyDescent="0.25">
      <c r="B108" s="965">
        <f t="shared" si="24"/>
        <v>5</v>
      </c>
      <c r="C108" s="777">
        <v>2950</v>
      </c>
      <c r="D108" s="964">
        <v>2950</v>
      </c>
      <c r="E108" s="780"/>
      <c r="H108" s="777">
        <v>2750</v>
      </c>
      <c r="I108" s="777">
        <f t="shared" si="23"/>
        <v>2750</v>
      </c>
      <c r="J108" s="780"/>
      <c r="K108" s="780"/>
      <c r="L108" s="780"/>
      <c r="M108" s="780"/>
      <c r="N108" s="780"/>
    </row>
    <row r="109" spans="2:21" x14ac:dyDescent="0.25">
      <c r="B109" s="965">
        <f t="shared" si="24"/>
        <v>6</v>
      </c>
      <c r="C109" s="777">
        <v>2950</v>
      </c>
      <c r="D109" s="964"/>
      <c r="E109" s="780"/>
      <c r="H109" s="777">
        <v>2750</v>
      </c>
      <c r="I109" s="777">
        <f t="shared" si="23"/>
        <v>2750</v>
      </c>
      <c r="J109" s="780"/>
      <c r="K109" s="780"/>
      <c r="L109" s="780"/>
      <c r="M109" s="780"/>
      <c r="N109" s="780"/>
    </row>
    <row r="110" spans="2:21" x14ac:dyDescent="0.25">
      <c r="B110" s="965">
        <f t="shared" si="24"/>
        <v>7</v>
      </c>
      <c r="C110" s="777">
        <v>2950</v>
      </c>
      <c r="D110" s="778"/>
      <c r="E110" s="780"/>
      <c r="H110" s="777">
        <v>2750</v>
      </c>
      <c r="I110" s="777">
        <f t="shared" si="23"/>
        <v>2750</v>
      </c>
      <c r="J110" s="780"/>
      <c r="K110" s="780"/>
      <c r="L110" s="780"/>
      <c r="M110" s="780"/>
      <c r="N110" s="780"/>
      <c r="Q110" s="501"/>
      <c r="R110" s="501"/>
      <c r="S110" s="501"/>
      <c r="T110" s="501"/>
      <c r="U110" s="501"/>
    </row>
    <row r="111" spans="2:21" x14ac:dyDescent="0.25">
      <c r="B111" s="965">
        <f t="shared" si="24"/>
        <v>8</v>
      </c>
      <c r="C111" s="777">
        <v>2950</v>
      </c>
      <c r="D111" s="778"/>
      <c r="E111" s="781"/>
      <c r="H111" s="777">
        <v>2750</v>
      </c>
      <c r="I111" s="777">
        <f t="shared" si="23"/>
        <v>2750</v>
      </c>
      <c r="J111" s="781"/>
      <c r="K111" s="781"/>
      <c r="L111" s="781"/>
      <c r="M111" s="781"/>
      <c r="N111" s="781"/>
    </row>
    <row r="112" spans="2:21" x14ac:dyDescent="0.25">
      <c r="B112" s="965">
        <f t="shared" si="24"/>
        <v>9</v>
      </c>
      <c r="C112" s="777">
        <v>2950</v>
      </c>
      <c r="D112" s="749"/>
      <c r="H112" s="777">
        <v>2750</v>
      </c>
      <c r="I112" s="777">
        <f t="shared" si="23"/>
        <v>2750</v>
      </c>
    </row>
    <row r="113" spans="2:10" x14ac:dyDescent="0.25">
      <c r="B113" s="965">
        <f t="shared" si="24"/>
        <v>10</v>
      </c>
      <c r="C113" s="777">
        <v>2950</v>
      </c>
      <c r="D113" s="749"/>
      <c r="H113" s="777">
        <v>2750</v>
      </c>
      <c r="I113" s="777">
        <f t="shared" si="23"/>
        <v>2750</v>
      </c>
    </row>
    <row r="114" spans="2:10" x14ac:dyDescent="0.25">
      <c r="B114" s="965">
        <f t="shared" si="24"/>
        <v>11</v>
      </c>
      <c r="C114" s="777">
        <v>2950</v>
      </c>
      <c r="D114" s="749"/>
      <c r="H114" s="777">
        <v>2750</v>
      </c>
      <c r="I114" s="777">
        <f t="shared" si="23"/>
        <v>2750</v>
      </c>
    </row>
    <row r="115" spans="2:10" x14ac:dyDescent="0.25">
      <c r="B115" s="965">
        <f t="shared" si="24"/>
        <v>12</v>
      </c>
      <c r="C115" s="777">
        <v>2950</v>
      </c>
      <c r="D115" s="749"/>
      <c r="H115" s="777">
        <v>2750</v>
      </c>
      <c r="I115" s="777">
        <f t="shared" si="23"/>
        <v>2750</v>
      </c>
    </row>
    <row r="116" spans="2:10" x14ac:dyDescent="0.25">
      <c r="B116" s="965">
        <f t="shared" si="24"/>
        <v>13</v>
      </c>
      <c r="C116" s="777">
        <v>2950</v>
      </c>
      <c r="D116" s="749"/>
      <c r="H116" s="777">
        <v>2750</v>
      </c>
      <c r="I116" s="777">
        <f t="shared" si="23"/>
        <v>2750</v>
      </c>
    </row>
    <row r="117" spans="2:10" x14ac:dyDescent="0.25">
      <c r="B117" s="965">
        <f t="shared" si="24"/>
        <v>14</v>
      </c>
      <c r="C117" s="777">
        <v>2950</v>
      </c>
      <c r="D117" s="749"/>
      <c r="H117" s="777">
        <v>2750</v>
      </c>
      <c r="I117" s="777">
        <f t="shared" si="23"/>
        <v>2750</v>
      </c>
    </row>
    <row r="118" spans="2:10" x14ac:dyDescent="0.25">
      <c r="B118" s="965">
        <f t="shared" si="24"/>
        <v>15</v>
      </c>
      <c r="C118" s="777">
        <v>2950</v>
      </c>
      <c r="D118" s="749"/>
      <c r="H118" s="777">
        <v>2750</v>
      </c>
      <c r="I118" s="777">
        <f t="shared" si="23"/>
        <v>2750</v>
      </c>
    </row>
    <row r="119" spans="2:10" x14ac:dyDescent="0.25">
      <c r="B119" s="965">
        <f t="shared" si="24"/>
        <v>16</v>
      </c>
      <c r="C119" s="777">
        <v>2950</v>
      </c>
      <c r="D119" s="749"/>
      <c r="H119" s="777">
        <v>2750</v>
      </c>
      <c r="I119" s="777">
        <f t="shared" si="23"/>
        <v>2750</v>
      </c>
    </row>
    <row r="120" spans="2:10" x14ac:dyDescent="0.25">
      <c r="B120" s="965">
        <f t="shared" si="24"/>
        <v>17</v>
      </c>
      <c r="C120" s="777">
        <v>2950</v>
      </c>
      <c r="D120" s="749"/>
      <c r="H120" s="777">
        <v>2750</v>
      </c>
      <c r="I120" s="777">
        <f t="shared" si="23"/>
        <v>2750</v>
      </c>
    </row>
    <row r="121" spans="2:10" x14ac:dyDescent="0.25">
      <c r="B121" s="965">
        <f t="shared" si="24"/>
        <v>18</v>
      </c>
      <c r="C121" s="777">
        <v>2950</v>
      </c>
      <c r="D121" s="749"/>
      <c r="H121" s="777">
        <v>2750</v>
      </c>
      <c r="I121" s="777"/>
    </row>
    <row r="122" spans="2:10" x14ac:dyDescent="0.25">
      <c r="B122" s="965">
        <f t="shared" si="24"/>
        <v>19</v>
      </c>
      <c r="C122" s="777">
        <v>2950</v>
      </c>
      <c r="D122" s="749"/>
      <c r="H122" s="777">
        <v>2750</v>
      </c>
      <c r="I122" s="777"/>
    </row>
    <row r="123" spans="2:10" x14ac:dyDescent="0.25">
      <c r="B123" s="965">
        <f t="shared" si="24"/>
        <v>20</v>
      </c>
      <c r="C123" s="777">
        <v>2950</v>
      </c>
      <c r="D123" s="749"/>
      <c r="H123" s="777">
        <v>2750</v>
      </c>
      <c r="I123" s="749"/>
    </row>
    <row r="124" spans="2:10" x14ac:dyDescent="0.25">
      <c r="B124" s="782" t="s">
        <v>515</v>
      </c>
      <c r="C124" s="783">
        <v>2497</v>
      </c>
      <c r="D124" s="784">
        <f>C124</f>
        <v>2497</v>
      </c>
      <c r="H124" s="777">
        <v>2750</v>
      </c>
    </row>
    <row r="125" spans="2:10" x14ac:dyDescent="0.25">
      <c r="B125" s="748" t="s">
        <v>518</v>
      </c>
      <c r="C125" s="767">
        <f>AVERAGE(C104:C124)</f>
        <v>2928.4285714285716</v>
      </c>
      <c r="D125" s="767">
        <f>SUM(D104:D124)/6</f>
        <v>2874.5</v>
      </c>
      <c r="E125" s="372" t="s">
        <v>834</v>
      </c>
      <c r="H125" s="777">
        <v>2750</v>
      </c>
      <c r="I125" s="749"/>
    </row>
    <row r="126" spans="2:10" x14ac:dyDescent="0.25">
      <c r="D126" s="785">
        <f>D125-C125</f>
        <v>-53.928571428571558</v>
      </c>
      <c r="H126" s="777">
        <v>2750</v>
      </c>
      <c r="I126" s="749"/>
    </row>
    <row r="127" spans="2:10" x14ac:dyDescent="0.25">
      <c r="G127" s="372" t="s">
        <v>520</v>
      </c>
      <c r="H127" s="786">
        <v>2327</v>
      </c>
      <c r="I127" s="787">
        <f>H127</f>
        <v>2327</v>
      </c>
    </row>
    <row r="128" spans="2:10" x14ac:dyDescent="0.25">
      <c r="G128" s="372" t="s">
        <v>521</v>
      </c>
      <c r="H128" s="777">
        <f>AVERAGE(H103:H127)</f>
        <v>2733.08</v>
      </c>
      <c r="I128" s="767">
        <f>SUM(I103:I127)/19</f>
        <v>2727.7368421052633</v>
      </c>
      <c r="J128" s="372" t="s">
        <v>833</v>
      </c>
    </row>
    <row r="129" spans="9:9" x14ac:dyDescent="0.25">
      <c r="I129" s="785">
        <f>I128-L64</f>
        <v>-20.743157894736669</v>
      </c>
    </row>
  </sheetData>
  <mergeCells count="20">
    <mergeCell ref="B1:O1"/>
    <mergeCell ref="B7:O7"/>
    <mergeCell ref="B47:O47"/>
    <mergeCell ref="L60:N60"/>
    <mergeCell ref="F60:H60"/>
    <mergeCell ref="K49:L49"/>
    <mergeCell ref="I60:K60"/>
    <mergeCell ref="K48:L48"/>
    <mergeCell ref="B59:O59"/>
    <mergeCell ref="B23:O23"/>
    <mergeCell ref="C94:K97"/>
    <mergeCell ref="L94:O97"/>
    <mergeCell ref="C102:D102"/>
    <mergeCell ref="H102:I102"/>
    <mergeCell ref="B39:O39"/>
    <mergeCell ref="B79:O79"/>
    <mergeCell ref="C81:K83"/>
    <mergeCell ref="L81:O83"/>
    <mergeCell ref="C84:K85"/>
    <mergeCell ref="L84:O85"/>
  </mergeCells>
  <phoneticPr fontId="33" type="noConversion"/>
  <conditionalFormatting sqref="E50:E55">
    <cfRule type="cellIs" dxfId="9" priority="2" operator="lessThan">
      <formula>0</formula>
    </cfRule>
  </conditionalFormatting>
  <printOptions horizontalCentered="1"/>
  <pageMargins left="0.15" right="0.15" top="0.25" bottom="0.25" header="0.3" footer="0.05"/>
  <pageSetup scale="69" fitToWidth="2" fitToHeight="2" orientation="landscape" r:id="rId1"/>
  <rowBreaks count="1" manualBreakCount="1">
    <brk id="57" min="1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BFEB-35C3-4F05-9169-223D9A6D5151}">
  <sheetPr filterMode="1"/>
  <dimension ref="A1:Y118"/>
  <sheetViews>
    <sheetView tabSelected="1" zoomScaleNormal="100" workbookViewId="0">
      <selection activeCell="G64" sqref="G64"/>
    </sheetView>
  </sheetViews>
  <sheetFormatPr defaultColWidth="9.140625" defaultRowHeight="15" outlineLevelCol="1" x14ac:dyDescent="0.25"/>
  <cols>
    <col min="1" max="1" width="11" style="371" bestFit="1" customWidth="1" outlineLevel="1"/>
    <col min="2" max="2" width="8.85546875" style="371" bestFit="1" customWidth="1" outlineLevel="1"/>
    <col min="3" max="3" width="13" style="371" bestFit="1" customWidth="1" outlineLevel="1"/>
    <col min="4" max="4" width="14" style="371" bestFit="1" customWidth="1" outlineLevel="1"/>
    <col min="5" max="5" width="11.42578125" style="371" bestFit="1" customWidth="1" outlineLevel="1"/>
    <col min="6" max="6" width="27.5703125" style="371" bestFit="1" customWidth="1"/>
    <col min="7" max="7" width="25.7109375" style="371" bestFit="1" customWidth="1"/>
    <col min="8" max="8" width="14.7109375" style="371" customWidth="1" outlineLevel="1"/>
    <col min="9" max="9" width="16.140625" style="371" customWidth="1" outlineLevel="1"/>
    <col min="10" max="10" width="14.7109375" style="371" customWidth="1" outlineLevel="1"/>
    <col min="11" max="11" width="14.85546875" style="371" customWidth="1" outlineLevel="1"/>
    <col min="12" max="12" width="10.5703125" style="380" customWidth="1" outlineLevel="1"/>
    <col min="13" max="13" width="11.42578125" style="371" customWidth="1" outlineLevel="1"/>
    <col min="14" max="14" width="18.42578125" style="371" customWidth="1" outlineLevel="1"/>
    <col min="15" max="15" width="16.42578125" style="371" customWidth="1" outlineLevel="1"/>
    <col min="16" max="16" width="24.7109375" style="371" bestFit="1" customWidth="1"/>
    <col min="17" max="17" width="24.42578125" style="371" bestFit="1" customWidth="1"/>
    <col min="18" max="18" width="25.7109375" style="371" bestFit="1" customWidth="1"/>
    <col min="19" max="19" width="18" style="371" bestFit="1" customWidth="1"/>
    <col min="20" max="20" width="12.5703125" style="371" bestFit="1" customWidth="1"/>
    <col min="22" max="22" width="12.5703125" style="372" customWidth="1"/>
    <col min="23" max="23" width="9.42578125" style="372" customWidth="1" outlineLevel="1"/>
    <col min="24" max="24" width="8.7109375" style="372" customWidth="1" outlineLevel="1"/>
    <col min="25" max="25" width="18.28515625" style="372" customWidth="1" outlineLevel="1"/>
    <col min="26" max="16384" width="9.140625" style="372"/>
  </cols>
  <sheetData>
    <row r="1" spans="1:25" s="371" customFormat="1" x14ac:dyDescent="0.25">
      <c r="A1" s="763" t="s">
        <v>324</v>
      </c>
      <c r="B1" s="763" t="s">
        <v>325</v>
      </c>
      <c r="C1" s="763" t="s">
        <v>326</v>
      </c>
      <c r="D1" s="763" t="s">
        <v>681</v>
      </c>
      <c r="E1" s="763" t="s">
        <v>682</v>
      </c>
      <c r="F1" s="763" t="s">
        <v>327</v>
      </c>
      <c r="G1" s="763" t="s">
        <v>684</v>
      </c>
      <c r="H1" s="763" t="s">
        <v>328</v>
      </c>
      <c r="I1" s="763" t="s">
        <v>329</v>
      </c>
      <c r="J1" s="763" t="s">
        <v>330</v>
      </c>
      <c r="K1" s="763" t="s">
        <v>110</v>
      </c>
      <c r="L1" s="763" t="s">
        <v>331</v>
      </c>
      <c r="M1" s="763" t="s">
        <v>332</v>
      </c>
      <c r="N1" s="763" t="s">
        <v>333</v>
      </c>
      <c r="O1" s="763" t="s">
        <v>334</v>
      </c>
      <c r="P1" s="763" t="s">
        <v>335</v>
      </c>
      <c r="Q1" s="763" t="s">
        <v>336</v>
      </c>
      <c r="R1" s="763" t="s">
        <v>687</v>
      </c>
      <c r="S1" s="763" t="s">
        <v>337</v>
      </c>
      <c r="T1" s="763" t="s">
        <v>338</v>
      </c>
      <c r="U1" s="182"/>
      <c r="V1" s="763"/>
      <c r="W1" s="371" t="s">
        <v>683</v>
      </c>
      <c r="X1" s="371">
        <f>COUNTIF(E2:E118,W1)</f>
        <v>61</v>
      </c>
    </row>
    <row r="2" spans="1:25" hidden="1" x14ac:dyDescent="0.25">
      <c r="A2" s="371">
        <v>1</v>
      </c>
      <c r="B2" s="371">
        <v>38</v>
      </c>
      <c r="C2" s="371">
        <v>47</v>
      </c>
      <c r="D2" s="371" t="str">
        <f>IF(ISNUMBER(SEARCH("Bobby Meadow",F2)),LEFT(F2,FIND(" ",F2)-1)&amp;"M",IF(ISNUMBER(SEARCH("Bruce Rushing",F2)),LEFT(F2,FIND(" ",F2)-1)&amp;"R",LEFT(F2,FIND(" ",F2)-1)&amp;MID(F2,FIND(" ",F2)+1,1)))</f>
        <v>21901R</v>
      </c>
      <c r="E2" s="371" t="str">
        <f>IFERROR(IF(_xlfn.XMATCH(D2,'Rent Roll - RPM'!$B$3:$B$60,0,1)&gt;0,"Match","No Match"),"No Match")</f>
        <v>No Match</v>
      </c>
      <c r="F2" s="371" t="s">
        <v>410</v>
      </c>
      <c r="G2" s="371">
        <f>_xlfn.XLOOKUP(D2,'Rent Roll - RPM'!$B$3:$B$60,'Rent Roll - RPM'!$D$3:$D$60,0)</f>
        <v>0</v>
      </c>
      <c r="H2" s="371">
        <v>1</v>
      </c>
      <c r="I2" s="371" t="s">
        <v>360</v>
      </c>
      <c r="J2" s="371" t="s">
        <v>69</v>
      </c>
      <c r="K2" s="371" t="s">
        <v>342</v>
      </c>
      <c r="L2" s="373">
        <v>1852</v>
      </c>
      <c r="M2" s="371">
        <v>3</v>
      </c>
      <c r="N2" s="374" t="s">
        <v>205</v>
      </c>
      <c r="O2" s="374" t="s">
        <v>347</v>
      </c>
      <c r="P2" s="375" t="str">
        <f>_xlfn.XLOOKUP(D2,'Rent Roll - RPM'!$B$3:$B$60,'Rent Roll - RPM'!$Q$3:$Q$60,"")</f>
        <v/>
      </c>
      <c r="Q2" s="375" t="str">
        <f>_xlfn.XLOOKUP($D2,'Rent Roll - RPM'!$B$3:$B$60,'Rent Roll - RPM'!$R$3:$R$60,"")</f>
        <v/>
      </c>
      <c r="R2" s="375" t="str">
        <f>_xlfn.XLOOKUP(D2,'Rent Roll - RPM'!$B$3:$B$60,'Rent Roll - RPM'!$S$3:$S$60,"")</f>
        <v/>
      </c>
      <c r="S2" s="376">
        <v>2950</v>
      </c>
      <c r="T2" s="376">
        <f t="shared" ref="T2:T33" si="0">S2/L2</f>
        <v>1.5928725701943844</v>
      </c>
      <c r="V2" s="376"/>
      <c r="W2" s="376" t="s">
        <v>682</v>
      </c>
      <c r="X2" s="371">
        <f>COUNTIF(E2:E119,W2)</f>
        <v>56</v>
      </c>
      <c r="Y2" s="372" t="s">
        <v>343</v>
      </c>
    </row>
    <row r="3" spans="1:25" hidden="1" x14ac:dyDescent="0.25">
      <c r="A3" s="371">
        <v>1</v>
      </c>
      <c r="B3" s="371">
        <v>39</v>
      </c>
      <c r="C3" s="371">
        <v>46</v>
      </c>
      <c r="D3" s="371" t="str">
        <f>IF(ISNUMBER(SEARCH("Bobby Meadow",F3)),LEFT(F3,FIND(" ",F3)-1)&amp;"M",IF(ISNUMBER(SEARCH("Bruce Rushing",F3)),LEFT(F3,FIND(" ",F3)-1)&amp;"R",LEFT(F3,FIND(" ",F3)-1)&amp;MID(F3,FIND(" ",F3)+1,1)))</f>
        <v>21905R</v>
      </c>
      <c r="E3" s="371" t="str">
        <f>IFERROR(IF(_xlfn.XMATCH(D3,'Rent Roll - RPM'!$B$3:$B$60,0,1)&gt;0,"Match","No Match"),"No Match")</f>
        <v>No Match</v>
      </c>
      <c r="F3" s="371" t="s">
        <v>409</v>
      </c>
      <c r="G3" s="371">
        <f>_xlfn.XLOOKUP(D3,'Rent Roll - RPM'!$B$3:$B$60,'Rent Roll - RPM'!$D$3:$D$60,0)</f>
        <v>0</v>
      </c>
      <c r="H3" s="371">
        <v>1</v>
      </c>
      <c r="I3" s="371" t="s">
        <v>346</v>
      </c>
      <c r="J3" s="371" t="s">
        <v>69</v>
      </c>
      <c r="K3" s="371" t="s">
        <v>342</v>
      </c>
      <c r="L3" s="373">
        <v>1852</v>
      </c>
      <c r="M3" s="371">
        <v>3</v>
      </c>
      <c r="N3" s="374" t="s">
        <v>205</v>
      </c>
      <c r="O3" s="374" t="s">
        <v>347</v>
      </c>
      <c r="P3" s="375" t="str">
        <f>_xlfn.XLOOKUP(D3,'Rent Roll - RPM'!$B$3:$B$60,'Rent Roll - RPM'!$Q$3:$Q$60,"")</f>
        <v/>
      </c>
      <c r="Q3" s="375" t="str">
        <f>_xlfn.XLOOKUP($D3,'Rent Roll - RPM'!$B$3:$B$60,'Rent Roll - RPM'!$R$3:$R$60,"")</f>
        <v/>
      </c>
      <c r="R3" s="375" t="str">
        <f>_xlfn.XLOOKUP(D3,'Rent Roll - RPM'!$B$3:$B$60,'Rent Roll - RPM'!$S$3:$S$60,"")</f>
        <v/>
      </c>
      <c r="S3" s="376">
        <v>2950</v>
      </c>
      <c r="T3" s="376">
        <f t="shared" si="0"/>
        <v>1.5928725701943844</v>
      </c>
      <c r="V3" s="376"/>
      <c r="W3" s="376"/>
      <c r="X3" s="376"/>
      <c r="Y3" s="372" t="s">
        <v>339</v>
      </c>
    </row>
    <row r="4" spans="1:25" hidden="1" x14ac:dyDescent="0.25">
      <c r="A4" s="371">
        <v>1</v>
      </c>
      <c r="B4" s="371">
        <v>25</v>
      </c>
      <c r="C4" s="371">
        <v>80</v>
      </c>
      <c r="D4" s="371" t="str">
        <f>IF(ISNUMBER(SEARCH("Bobby Meadow",F4)),LEFT(F4,FIND(" ",F4)-1)&amp;"M",LEFT(F4,FIND(" ",F4)-1)&amp;MID(F4,FIND(" ",F4)+1,1))</f>
        <v>21907M</v>
      </c>
      <c r="E4" s="371" t="str">
        <f>IFERROR(IF(_xlfn.XMATCH(D4,'Rent Roll - RPM'!$B$3:$B$60,0,1)&gt;0,"Match","No Match"),"No Match")</f>
        <v>No Match</v>
      </c>
      <c r="F4" s="371" t="s">
        <v>431</v>
      </c>
      <c r="G4" s="371">
        <f>_xlfn.XLOOKUP(D4,'Rent Roll - RPM'!$B$3:$B$60,'Rent Roll - RPM'!$D$3:$D$60,0)</f>
        <v>0</v>
      </c>
      <c r="H4" s="371">
        <v>1</v>
      </c>
      <c r="I4" s="371" t="s">
        <v>383</v>
      </c>
      <c r="J4" s="371" t="s">
        <v>73</v>
      </c>
      <c r="K4" s="371" t="s">
        <v>384</v>
      </c>
      <c r="L4" s="373">
        <v>2431</v>
      </c>
      <c r="M4" s="371">
        <v>5</v>
      </c>
      <c r="N4" s="374">
        <v>45991</v>
      </c>
      <c r="O4" s="374" t="s">
        <v>347</v>
      </c>
      <c r="P4" s="371" t="str">
        <f>_xlfn.XLOOKUP(D4,'Rent Roll - RPM'!$B$3:$B$60,'Rent Roll - RPM'!$Q$3:$Q$60,"")</f>
        <v/>
      </c>
      <c r="Q4" s="371" t="str">
        <f>_xlfn.XLOOKUP($D4,'Rent Roll - RPM'!$B$3:$B$60,'Rent Roll - RPM'!$R$3:$R$60,"")</f>
        <v/>
      </c>
      <c r="R4" s="375" t="str">
        <f>_xlfn.XLOOKUP(D4,'Rent Roll - RPM'!$B$3:$B$60,'Rent Roll - RPM'!$S$3:$S$60,"")</f>
        <v/>
      </c>
      <c r="S4" s="376">
        <v>3600</v>
      </c>
      <c r="T4" s="376">
        <f t="shared" si="0"/>
        <v>1.4808720691073631</v>
      </c>
      <c r="V4" s="376"/>
      <c r="W4" s="376"/>
      <c r="X4" s="376"/>
      <c r="Y4" s="372" t="s">
        <v>347</v>
      </c>
    </row>
    <row r="5" spans="1:25" hidden="1" x14ac:dyDescent="0.25">
      <c r="A5" s="371">
        <v>1</v>
      </c>
      <c r="B5" s="371">
        <v>40</v>
      </c>
      <c r="C5" s="371">
        <v>45</v>
      </c>
      <c r="D5" s="371" t="str">
        <f>IF(ISNUMBER(SEARCH("Bobby Meadow",F5)),LEFT(F5,FIND(" ",F5)-1)&amp;"M",IF(ISNUMBER(SEARCH("Bruce Rushing",F5)),LEFT(F5,FIND(" ",F5)-1)&amp;"R",LEFT(F5,FIND(" ",F5)-1)&amp;MID(F5,FIND(" ",F5)+1,1)))</f>
        <v>21909R</v>
      </c>
      <c r="E5" s="371" t="str">
        <f>IFERROR(IF(_xlfn.XMATCH(D5,'Rent Roll - RPM'!$B$3:$B$60,0,1)&gt;0,"Match","No Match"),"No Match")</f>
        <v>No Match</v>
      </c>
      <c r="F5" s="371" t="s">
        <v>269</v>
      </c>
      <c r="G5" s="371">
        <f>_xlfn.XLOOKUP(D5,'Rent Roll - RPM'!$B$3:$B$60,'Rent Roll - RPM'!$D$3:$D$60,0)</f>
        <v>0</v>
      </c>
      <c r="H5" s="371">
        <v>1</v>
      </c>
      <c r="I5" s="371" t="s">
        <v>354</v>
      </c>
      <c r="J5" s="371" t="s">
        <v>323</v>
      </c>
      <c r="K5" s="371" t="s">
        <v>350</v>
      </c>
      <c r="L5" s="377">
        <v>1425</v>
      </c>
      <c r="M5" s="371">
        <v>3</v>
      </c>
      <c r="N5" s="374" t="s">
        <v>205</v>
      </c>
      <c r="O5" s="374" t="s">
        <v>347</v>
      </c>
      <c r="P5" s="375" t="str">
        <f>_xlfn.XLOOKUP(D5,'Rent Roll - RPM'!$B$3:$B$60,'Rent Roll - RPM'!$Q$3:$Q$60,"")</f>
        <v/>
      </c>
      <c r="Q5" s="375" t="str">
        <f>_xlfn.XLOOKUP($D5,'Rent Roll - RPM'!$B$3:$B$60,'Rent Roll - RPM'!$R$3:$R$60,"")</f>
        <v/>
      </c>
      <c r="R5" s="375" t="str">
        <f>_xlfn.XLOOKUP(D5,'Rent Roll - RPM'!$B$3:$B$60,'Rent Roll - RPM'!$S$3:$S$60,"")</f>
        <v/>
      </c>
      <c r="S5" s="376">
        <v>2450</v>
      </c>
      <c r="T5" s="376">
        <f t="shared" si="0"/>
        <v>1.7192982456140351</v>
      </c>
      <c r="V5" s="376"/>
      <c r="W5" s="376"/>
      <c r="X5" s="376"/>
      <c r="Y5" s="372" t="s">
        <v>351</v>
      </c>
    </row>
    <row r="6" spans="1:25" hidden="1" x14ac:dyDescent="0.25">
      <c r="A6" s="999">
        <v>1</v>
      </c>
      <c r="B6" s="999">
        <v>41</v>
      </c>
      <c r="C6" s="999">
        <v>44</v>
      </c>
      <c r="D6" s="999" t="str">
        <f>IF(ISNUMBER(SEARCH("Bobby Meadow",F6)),LEFT(F6,FIND(" ",F6)-1)&amp;"M",IF(ISNUMBER(SEARCH("Bruce Rushing",F6)),LEFT(F6,FIND(" ",F6)-1)&amp;"R",LEFT(F6,FIND(" ",F6)-1)&amp;MID(F6,FIND(" ",F6)+1,1)))</f>
        <v>21913R</v>
      </c>
      <c r="E6" s="999" t="str">
        <f>IFERROR(IF(_xlfn.XMATCH(D6,'Rent Roll - RPM'!$B$3:$B$60,0,1)&gt;0,"Match","No Match"),"No Match")</f>
        <v>No Match</v>
      </c>
      <c r="F6" s="999" t="s">
        <v>368</v>
      </c>
      <c r="G6" s="999">
        <f>_xlfn.XLOOKUP(D6,'Rent Roll - RPM'!$B$3:$B$60,'Rent Roll - RPM'!$D$3:$D$60,0)</f>
        <v>0</v>
      </c>
      <c r="H6" s="999">
        <v>1</v>
      </c>
      <c r="I6" s="999" t="s">
        <v>369</v>
      </c>
      <c r="J6" s="999" t="s">
        <v>323</v>
      </c>
      <c r="K6" s="999" t="s">
        <v>350</v>
      </c>
      <c r="L6" s="1050">
        <v>1425</v>
      </c>
      <c r="M6" s="999">
        <v>3</v>
      </c>
      <c r="N6" s="1051" t="s">
        <v>205</v>
      </c>
      <c r="O6" s="1051" t="s">
        <v>347</v>
      </c>
      <c r="P6" s="896" t="str">
        <f>_xlfn.XLOOKUP(D6,'Rent Roll - RPM'!$B$3:$B$60,'Rent Roll - RPM'!$Q$3:$Q$60,"")</f>
        <v/>
      </c>
      <c r="Q6" s="896" t="str">
        <f>_xlfn.XLOOKUP($D6,'Rent Roll - RPM'!$B$3:$B$60,'Rent Roll - RPM'!$R$3:$R$60,"")</f>
        <v/>
      </c>
      <c r="R6" s="896" t="str">
        <f>_xlfn.XLOOKUP(D6,'Rent Roll - RPM'!$B$3:$B$60,'Rent Roll - RPM'!$S$3:$S$60,"")</f>
        <v/>
      </c>
      <c r="S6" s="1052">
        <v>2450</v>
      </c>
      <c r="T6" s="1052">
        <f t="shared" si="0"/>
        <v>1.7192982456140351</v>
      </c>
      <c r="V6" s="376"/>
      <c r="W6" s="376"/>
      <c r="X6" s="376"/>
      <c r="Y6" s="372" t="s">
        <v>759</v>
      </c>
    </row>
    <row r="7" spans="1:25" hidden="1" x14ac:dyDescent="0.25">
      <c r="A7" s="371">
        <v>1</v>
      </c>
      <c r="B7" s="371">
        <v>27</v>
      </c>
      <c r="C7" s="371">
        <v>78</v>
      </c>
      <c r="D7" s="371" t="str">
        <f>IF(ISNUMBER(SEARCH("Bobby Meadow",F7)),LEFT(F7,FIND(" ",F7)-1)&amp;"M",LEFT(F7,FIND(" ",F7)-1)&amp;MID(F7,FIND(" ",F7)+1,1))</f>
        <v>21919M</v>
      </c>
      <c r="E7" s="371" t="str">
        <f>IFERROR(IF(_xlfn.XMATCH(D7,'Rent Roll - RPM'!$B$3:$B$60,0,1)&gt;0,"Match","No Match"),"No Match")</f>
        <v>No Match</v>
      </c>
      <c r="F7" s="371" t="s">
        <v>430</v>
      </c>
      <c r="G7" s="371">
        <f>_xlfn.XLOOKUP(D7,'Rent Roll - RPM'!$B$3:$B$60,'Rent Roll - RPM'!$D$3:$D$60,0)</f>
        <v>0</v>
      </c>
      <c r="H7" s="371">
        <v>1</v>
      </c>
      <c r="I7" s="371" t="s">
        <v>374</v>
      </c>
      <c r="J7" s="371" t="s">
        <v>323</v>
      </c>
      <c r="K7" s="371" t="s">
        <v>350</v>
      </c>
      <c r="L7" s="377">
        <v>1425</v>
      </c>
      <c r="M7" s="371">
        <v>5</v>
      </c>
      <c r="N7" s="374">
        <v>45991</v>
      </c>
      <c r="O7" s="374" t="s">
        <v>347</v>
      </c>
      <c r="P7" s="371" t="str">
        <f>_xlfn.XLOOKUP(D7,'Rent Roll - RPM'!$B$3:$B$60,'Rent Roll - RPM'!$Q$3:$Q$60,"")</f>
        <v/>
      </c>
      <c r="Q7" s="371" t="str">
        <f>_xlfn.XLOOKUP($D7,'Rent Roll - RPM'!$B$3:$B$60,'Rent Roll - RPM'!$R$3:$R$60,"")</f>
        <v/>
      </c>
      <c r="R7" s="375" t="str">
        <f>_xlfn.XLOOKUP(D7,'Rent Roll - RPM'!$B$3:$B$60,'Rent Roll - RPM'!$S$3:$S$60,"")</f>
        <v/>
      </c>
      <c r="S7" s="376">
        <v>2450</v>
      </c>
      <c r="T7" s="376">
        <f t="shared" si="0"/>
        <v>1.7192982456140351</v>
      </c>
      <c r="V7" s="376"/>
      <c r="W7" s="376"/>
      <c r="X7" s="376"/>
    </row>
    <row r="8" spans="1:25" hidden="1" x14ac:dyDescent="0.25">
      <c r="A8" s="371">
        <v>1</v>
      </c>
      <c r="B8" s="371">
        <v>43</v>
      </c>
      <c r="C8" s="371">
        <v>42</v>
      </c>
      <c r="D8" s="371" t="str">
        <f>IF(ISNUMBER(SEARCH("Bobby Meadow",F8)),LEFT(F8,FIND(" ",F8)-1)&amp;"M",IF(ISNUMBER(SEARCH("Bruce Rushing",F8)),LEFT(F8,FIND(" ",F8)-1)&amp;"R",LEFT(F8,FIND(" ",F8)-1)&amp;MID(F8,FIND(" ",F8)+1,1)))</f>
        <v>21921R</v>
      </c>
      <c r="E8" s="371" t="str">
        <f>IFERROR(IF(_xlfn.XMATCH(D8,'Rent Roll - RPM'!$B$3:$B$60,0,1)&gt;0,"Match","No Match"),"No Match")</f>
        <v>No Match</v>
      </c>
      <c r="F8" s="371" t="s">
        <v>408</v>
      </c>
      <c r="G8" s="371">
        <f>_xlfn.XLOOKUP(D8,'Rent Roll - RPM'!$B$3:$B$60,'Rent Roll - RPM'!$D$3:$D$60,0)</f>
        <v>0</v>
      </c>
      <c r="H8" s="371">
        <v>1</v>
      </c>
      <c r="I8" s="371" t="s">
        <v>346</v>
      </c>
      <c r="J8" s="371" t="s">
        <v>69</v>
      </c>
      <c r="K8" s="371" t="s">
        <v>342</v>
      </c>
      <c r="L8" s="373">
        <v>1852</v>
      </c>
      <c r="M8" s="371">
        <v>3</v>
      </c>
      <c r="N8" s="374" t="s">
        <v>205</v>
      </c>
      <c r="O8" s="374" t="s">
        <v>347</v>
      </c>
      <c r="P8" s="375" t="str">
        <f>_xlfn.XLOOKUP(D8,'Rent Roll - RPM'!$B$3:$B$60,'Rent Roll - RPM'!$Q$3:$Q$60,"")</f>
        <v/>
      </c>
      <c r="Q8" s="375" t="str">
        <f>_xlfn.XLOOKUP($D8,'Rent Roll - RPM'!$B$3:$B$60,'Rent Roll - RPM'!$R$3:$R$60,"")</f>
        <v/>
      </c>
      <c r="R8" s="375" t="str">
        <f>_xlfn.XLOOKUP(D8,'Rent Roll - RPM'!$B$3:$B$60,'Rent Roll - RPM'!$S$3:$S$60,"")</f>
        <v/>
      </c>
      <c r="S8" s="376">
        <v>2950</v>
      </c>
      <c r="T8" s="376">
        <f t="shared" si="0"/>
        <v>1.5928725701943844</v>
      </c>
      <c r="V8" s="376"/>
      <c r="W8" s="376"/>
      <c r="X8" s="376"/>
    </row>
    <row r="9" spans="1:25" hidden="1" x14ac:dyDescent="0.25">
      <c r="A9" s="371">
        <v>1</v>
      </c>
      <c r="B9" s="371">
        <v>29</v>
      </c>
      <c r="C9" s="371">
        <v>56</v>
      </c>
      <c r="D9" s="371" t="str">
        <f t="shared" ref="D9:D40" si="1">IF(ISNUMBER(SEARCH("Bobby Meadow",F9)),LEFT(F9,FIND(" ",F9)-1)&amp;"M",LEFT(F9,FIND(" ",F9)-1)&amp;MID(F9,FIND(" ",F9)+1,1))</f>
        <v>21927M</v>
      </c>
      <c r="E9" s="371" t="str">
        <f>IFERROR(IF(_xlfn.XMATCH(D9,'Rent Roll - RPM'!$B$3:$B$60,0,1)&gt;0,"Match","No Match"),"No Match")</f>
        <v>No Match</v>
      </c>
      <c r="F9" s="371" t="s">
        <v>306</v>
      </c>
      <c r="G9" s="371">
        <f>_xlfn.XLOOKUP(D9,'Rent Roll - RPM'!$B$3:$B$60,'Rent Roll - RPM'!$D$3:$D$60,0)</f>
        <v>0</v>
      </c>
      <c r="H9" s="371">
        <v>1</v>
      </c>
      <c r="I9" s="371" t="s">
        <v>344</v>
      </c>
      <c r="J9" s="371" t="s">
        <v>22</v>
      </c>
      <c r="K9" s="371" t="s">
        <v>342</v>
      </c>
      <c r="L9" s="373">
        <v>1685</v>
      </c>
      <c r="M9" s="371">
        <v>3</v>
      </c>
      <c r="N9" s="374" t="s">
        <v>205</v>
      </c>
      <c r="O9" s="374" t="s">
        <v>347</v>
      </c>
      <c r="P9" s="375" t="str">
        <f>_xlfn.XLOOKUP(D9,'Rent Roll - RPM'!$B$3:$B$60,'Rent Roll - RPM'!$Q$3:$Q$60,"")</f>
        <v/>
      </c>
      <c r="Q9" s="375" t="str">
        <f>_xlfn.XLOOKUP($D9,'Rent Roll - RPM'!$B$3:$B$60,'Rent Roll - RPM'!$R$3:$R$60,"")</f>
        <v/>
      </c>
      <c r="R9" s="375" t="str">
        <f>_xlfn.XLOOKUP(D9,'Rent Roll - RPM'!$B$3:$B$60,'Rent Roll - RPM'!$S$3:$S$60,"")</f>
        <v/>
      </c>
      <c r="S9" s="376">
        <v>2750</v>
      </c>
      <c r="T9" s="376">
        <f t="shared" si="0"/>
        <v>1.6320474777448071</v>
      </c>
      <c r="V9" s="376"/>
      <c r="W9" s="376"/>
      <c r="X9" s="376"/>
    </row>
    <row r="10" spans="1:25" s="1053" customFormat="1" hidden="1" x14ac:dyDescent="0.25">
      <c r="A10" s="371">
        <v>1</v>
      </c>
      <c r="B10" s="371">
        <v>30</v>
      </c>
      <c r="C10" s="371">
        <v>55</v>
      </c>
      <c r="D10" s="371" t="str">
        <f t="shared" si="1"/>
        <v>21931M</v>
      </c>
      <c r="E10" s="371" t="str">
        <f>IFERROR(IF(_xlfn.XMATCH(D10,'Rent Roll - RPM'!$B$3:$B$60,0,1)&gt;0,"Match","No Match"),"No Match")</f>
        <v>No Match</v>
      </c>
      <c r="F10" s="371" t="s">
        <v>412</v>
      </c>
      <c r="G10" s="371">
        <f>_xlfn.XLOOKUP(D10,'Rent Roll - RPM'!$B$3:$B$60,'Rent Roll - RPM'!$D$3:$D$60,0)</f>
        <v>0</v>
      </c>
      <c r="H10" s="371">
        <v>1</v>
      </c>
      <c r="I10" s="371" t="s">
        <v>362</v>
      </c>
      <c r="J10" s="371" t="s">
        <v>69</v>
      </c>
      <c r="K10" s="371" t="s">
        <v>342</v>
      </c>
      <c r="L10" s="373">
        <v>1852</v>
      </c>
      <c r="M10" s="371">
        <v>3</v>
      </c>
      <c r="N10" s="374" t="s">
        <v>205</v>
      </c>
      <c r="O10" s="374" t="s">
        <v>347</v>
      </c>
      <c r="P10" s="375" t="str">
        <f>_xlfn.XLOOKUP(D10,'Rent Roll - RPM'!$B$3:$B$60,'Rent Roll - RPM'!$Q$3:$Q$60,"")</f>
        <v/>
      </c>
      <c r="Q10" s="375" t="str">
        <f>_xlfn.XLOOKUP($D10,'Rent Roll - RPM'!$B$3:$B$60,'Rent Roll - RPM'!$R$3:$R$60,"")</f>
        <v/>
      </c>
      <c r="R10" s="375" t="str">
        <f>_xlfn.XLOOKUP(D10,'Rent Roll - RPM'!$B$3:$B$60,'Rent Roll - RPM'!$S$3:$S$60,"")</f>
        <v/>
      </c>
      <c r="S10" s="376">
        <v>2950</v>
      </c>
      <c r="T10" s="376">
        <f t="shared" si="0"/>
        <v>1.5928725701943844</v>
      </c>
      <c r="U10" s="1043"/>
      <c r="V10" s="1052"/>
      <c r="W10" s="1052"/>
      <c r="X10" s="1052"/>
    </row>
    <row r="11" spans="1:25" hidden="1" x14ac:dyDescent="0.25">
      <c r="A11" s="371">
        <v>1</v>
      </c>
      <c r="B11" s="371">
        <v>36</v>
      </c>
      <c r="C11" s="371">
        <v>49</v>
      </c>
      <c r="D11" s="371" t="str">
        <f t="shared" si="1"/>
        <v>21942M</v>
      </c>
      <c r="E11" s="371" t="str">
        <f>IFERROR(IF(_xlfn.XMATCH(D11,'Rent Roll - RPM'!$B$3:$B$60,0,1)&gt;0,"Match","No Match"),"No Match")</f>
        <v>No Match</v>
      </c>
      <c r="F11" s="371" t="s">
        <v>411</v>
      </c>
      <c r="G11" s="371">
        <f>_xlfn.XLOOKUP(D11,'Rent Roll - RPM'!$B$3:$B$60,'Rent Roll - RPM'!$D$3:$D$60,0)</f>
        <v>0</v>
      </c>
      <c r="H11" s="371">
        <v>1</v>
      </c>
      <c r="I11" s="371" t="s">
        <v>369</v>
      </c>
      <c r="J11" s="371" t="s">
        <v>323</v>
      </c>
      <c r="K11" s="371" t="s">
        <v>350</v>
      </c>
      <c r="L11" s="377">
        <v>1425</v>
      </c>
      <c r="M11" s="371">
        <v>3</v>
      </c>
      <c r="N11" s="374" t="s">
        <v>205</v>
      </c>
      <c r="O11" s="374" t="s">
        <v>347</v>
      </c>
      <c r="P11" s="375" t="str">
        <f>_xlfn.XLOOKUP(D11,'Rent Roll - RPM'!$B$3:$B$60,'Rent Roll - RPM'!$Q$3:$Q$60,"")</f>
        <v/>
      </c>
      <c r="Q11" s="375" t="str">
        <f>_xlfn.XLOOKUP($D11,'Rent Roll - RPM'!$B$3:$B$60,'Rent Roll - RPM'!$R$3:$R$60,"")</f>
        <v/>
      </c>
      <c r="R11" s="375" t="str">
        <f>_xlfn.XLOOKUP(D11,'Rent Roll - RPM'!$B$3:$B$60,'Rent Roll - RPM'!$S$3:$S$60,"")</f>
        <v/>
      </c>
      <c r="S11" s="376">
        <v>2450</v>
      </c>
      <c r="T11" s="376">
        <f t="shared" si="0"/>
        <v>1.7192982456140351</v>
      </c>
      <c r="V11" s="376"/>
      <c r="W11" s="376"/>
      <c r="X11" s="376"/>
    </row>
    <row r="12" spans="1:25" hidden="1" x14ac:dyDescent="0.25">
      <c r="A12" s="371">
        <v>1</v>
      </c>
      <c r="B12" s="371">
        <v>44</v>
      </c>
      <c r="C12" s="371">
        <v>31</v>
      </c>
      <c r="D12" s="371" t="str">
        <f t="shared" si="1"/>
        <v>22001L</v>
      </c>
      <c r="E12" s="371" t="str">
        <f>IFERROR(IF(_xlfn.XMATCH(D12,'Rent Roll - RPM'!$B$3:$B$60,0,1)&gt;0,"Match","No Match"),"No Match")</f>
        <v>No Match</v>
      </c>
      <c r="F12" s="371" t="s">
        <v>399</v>
      </c>
      <c r="G12" s="371">
        <f>_xlfn.XLOOKUP(D12,'Rent Roll - RPM'!$B$3:$B$60,'Rent Roll - RPM'!$D$3:$D$60,0)</f>
        <v>0</v>
      </c>
      <c r="H12" s="371">
        <v>1</v>
      </c>
      <c r="I12" s="371" t="s">
        <v>383</v>
      </c>
      <c r="J12" s="371" t="s">
        <v>73</v>
      </c>
      <c r="K12" s="371" t="s">
        <v>384</v>
      </c>
      <c r="L12" s="373">
        <v>2431</v>
      </c>
      <c r="M12" s="371">
        <v>2</v>
      </c>
      <c r="N12" s="374" t="s">
        <v>205</v>
      </c>
      <c r="O12" s="374" t="s">
        <v>347</v>
      </c>
      <c r="P12" s="375" t="str">
        <f>_xlfn.XLOOKUP(D12,'Rent Roll - RPM'!$B$3:$B$60,'Rent Roll - RPM'!$Q$3:$Q$60,"")</f>
        <v/>
      </c>
      <c r="Q12" s="375" t="str">
        <f>_xlfn.XLOOKUP($D12,'Rent Roll - RPM'!$B$3:$B$60,'Rent Roll - RPM'!$R$3:$R$60,"")</f>
        <v/>
      </c>
      <c r="R12" s="375" t="str">
        <f>_xlfn.XLOOKUP(D12,'Rent Roll - RPM'!$B$3:$B$60,'Rent Roll - RPM'!$S$3:$S$60,"")</f>
        <v/>
      </c>
      <c r="S12" s="376">
        <v>3600</v>
      </c>
      <c r="T12" s="376">
        <f t="shared" si="0"/>
        <v>1.4808720691073631</v>
      </c>
      <c r="V12" s="376"/>
      <c r="W12" s="376"/>
      <c r="X12" s="376"/>
    </row>
    <row r="13" spans="1:25" hidden="1" x14ac:dyDescent="0.25">
      <c r="A13" s="371">
        <v>1</v>
      </c>
      <c r="B13" s="371">
        <v>66</v>
      </c>
      <c r="C13" s="371">
        <v>2</v>
      </c>
      <c r="D13" s="371" t="str">
        <f t="shared" si="1"/>
        <v>22006F</v>
      </c>
      <c r="E13" s="371" t="str">
        <f>IFERROR(IF(_xlfn.XMATCH(D13,'Rent Roll - RPM'!$B$3:$B$60,0,1)&gt;0,"Match","No Match"),"No Match")</f>
        <v>No Match</v>
      </c>
      <c r="F13" s="371" t="s">
        <v>389</v>
      </c>
      <c r="G13" s="371">
        <f>_xlfn.XLOOKUP(D13,'Rent Roll - RPM'!$B$3:$B$60,'Rent Roll - RPM'!$D$3:$D$60,0)</f>
        <v>0</v>
      </c>
      <c r="I13" s="371" t="s">
        <v>356</v>
      </c>
      <c r="J13" s="371" t="s">
        <v>65</v>
      </c>
      <c r="K13" s="371" t="s">
        <v>350</v>
      </c>
      <c r="L13" s="373">
        <v>1635</v>
      </c>
      <c r="M13" s="371">
        <v>1</v>
      </c>
      <c r="N13" s="374" t="s">
        <v>205</v>
      </c>
      <c r="O13" s="374" t="s">
        <v>347</v>
      </c>
      <c r="P13" s="375" t="str">
        <f>_xlfn.XLOOKUP(D13,'Rent Roll - RPM'!$B$3:$B$60,'Rent Roll - RPM'!$Q$3:$Q$60,"")</f>
        <v/>
      </c>
      <c r="Q13" s="375" t="str">
        <f>_xlfn.XLOOKUP($D13,'Rent Roll - RPM'!$B$3:$B$60,'Rent Roll - RPM'!$R$3:$R$60,"")</f>
        <v/>
      </c>
      <c r="R13" s="375" t="str">
        <f>_xlfn.XLOOKUP(D13,'Rent Roll - RPM'!$B$3:$B$60,'Rent Roll - RPM'!$S$3:$S$60,"")</f>
        <v/>
      </c>
      <c r="S13" s="376">
        <v>2650</v>
      </c>
      <c r="T13" s="376">
        <f t="shared" si="0"/>
        <v>1.620795107033639</v>
      </c>
      <c r="V13" s="376"/>
      <c r="W13" s="376"/>
      <c r="X13" s="376"/>
    </row>
    <row r="14" spans="1:25" hidden="1" x14ac:dyDescent="0.25">
      <c r="A14" s="371">
        <v>1</v>
      </c>
      <c r="B14" s="371">
        <v>46</v>
      </c>
      <c r="C14" s="371">
        <v>29</v>
      </c>
      <c r="D14" s="371" t="str">
        <f t="shared" si="1"/>
        <v>22009L</v>
      </c>
      <c r="E14" s="371" t="str">
        <f>IFERROR(IF(_xlfn.XMATCH(D14,'Rent Roll - RPM'!$B$3:$B$60,0,1)&gt;0,"Match","No Match"),"No Match")</f>
        <v>No Match</v>
      </c>
      <c r="F14" s="371" t="s">
        <v>397</v>
      </c>
      <c r="G14" s="371">
        <f>_xlfn.XLOOKUP(D14,'Rent Roll - RPM'!$B$3:$B$60,'Rent Roll - RPM'!$D$3:$D$60,0)</f>
        <v>0</v>
      </c>
      <c r="H14" s="371">
        <v>1</v>
      </c>
      <c r="I14" s="371" t="s">
        <v>398</v>
      </c>
      <c r="J14" s="371" t="s">
        <v>71</v>
      </c>
      <c r="K14" s="371" t="s">
        <v>342</v>
      </c>
      <c r="L14" s="378">
        <v>1909</v>
      </c>
      <c r="M14" s="371">
        <v>2</v>
      </c>
      <c r="N14" s="374" t="s">
        <v>205</v>
      </c>
      <c r="O14" s="374" t="s">
        <v>347</v>
      </c>
      <c r="P14" s="375" t="str">
        <f>_xlfn.XLOOKUP(D14,'Rent Roll - RPM'!$B$3:$B$60,'Rent Roll - RPM'!$Q$3:$Q$60,"")</f>
        <v/>
      </c>
      <c r="Q14" s="375" t="str">
        <f>_xlfn.XLOOKUP($D14,'Rent Roll - RPM'!$B$3:$B$60,'Rent Roll - RPM'!$R$3:$R$60,"")</f>
        <v/>
      </c>
      <c r="R14" s="375" t="str">
        <f>_xlfn.XLOOKUP(D14,'Rent Roll - RPM'!$B$3:$B$60,'Rent Roll - RPM'!$S$3:$S$60,"")</f>
        <v/>
      </c>
      <c r="S14" s="376">
        <v>3150</v>
      </c>
      <c r="T14" s="376">
        <f t="shared" si="0"/>
        <v>1.6500785751702463</v>
      </c>
      <c r="V14" s="376"/>
      <c r="W14" s="376"/>
      <c r="X14" s="376"/>
    </row>
    <row r="15" spans="1:25" hidden="1" x14ac:dyDescent="0.25">
      <c r="A15" s="371">
        <v>1</v>
      </c>
      <c r="B15" s="371">
        <v>65</v>
      </c>
      <c r="C15" s="371">
        <v>3</v>
      </c>
      <c r="D15" s="371" t="str">
        <f t="shared" si="1"/>
        <v>22010F</v>
      </c>
      <c r="E15" s="371" t="str">
        <f>IFERROR(IF(_xlfn.XMATCH(D15,'Rent Roll - RPM'!$B$3:$B$60,0,1)&gt;0,"Match","No Match"),"No Match")</f>
        <v>No Match</v>
      </c>
      <c r="F15" s="371" t="s">
        <v>390</v>
      </c>
      <c r="G15" s="371">
        <f>_xlfn.XLOOKUP(D15,'Rent Roll - RPM'!$B$3:$B$60,'Rent Roll - RPM'!$D$3:$D$60,0)</f>
        <v>0</v>
      </c>
      <c r="H15" s="371">
        <v>1</v>
      </c>
      <c r="I15" s="371" t="s">
        <v>344</v>
      </c>
      <c r="J15" s="371" t="s">
        <v>22</v>
      </c>
      <c r="K15" s="371" t="s">
        <v>342</v>
      </c>
      <c r="L15" s="373">
        <v>1685</v>
      </c>
      <c r="M15" s="371">
        <v>1</v>
      </c>
      <c r="N15" s="374" t="s">
        <v>205</v>
      </c>
      <c r="O15" s="374" t="s">
        <v>347</v>
      </c>
      <c r="P15" s="371" t="str">
        <f>_xlfn.XLOOKUP(D15,'Rent Roll - RPM'!$B$3:$B$60,'Rent Roll - RPM'!$Q$3:$Q$60,"")</f>
        <v/>
      </c>
      <c r="Q15" s="371" t="str">
        <f>_xlfn.XLOOKUP($D15,'Rent Roll - RPM'!$B$3:$B$60,'Rent Roll - RPM'!$R$3:$R$60,"")</f>
        <v/>
      </c>
      <c r="R15" s="375" t="str">
        <f>_xlfn.XLOOKUP(D15,'Rent Roll - RPM'!$B$3:$B$60,'Rent Roll - RPM'!$S$3:$S$60,"")</f>
        <v/>
      </c>
      <c r="S15" s="376">
        <v>2750</v>
      </c>
      <c r="T15" s="376">
        <f t="shared" si="0"/>
        <v>1.6320474777448071</v>
      </c>
      <c r="V15" s="376"/>
      <c r="W15" s="376"/>
      <c r="X15" s="376"/>
    </row>
    <row r="16" spans="1:25" hidden="1" x14ac:dyDescent="0.25">
      <c r="A16" s="371">
        <v>3</v>
      </c>
      <c r="B16" s="371">
        <v>11</v>
      </c>
      <c r="C16" s="371">
        <v>35</v>
      </c>
      <c r="D16" s="371" t="str">
        <f t="shared" si="1"/>
        <v>22014L</v>
      </c>
      <c r="E16" s="371" t="str">
        <f>IFERROR(IF(_xlfn.XMATCH(D16,'Rent Roll - RPM'!$B$3:$B$60,0,1)&gt;0,"Match","No Match"),"No Match")</f>
        <v>No Match</v>
      </c>
      <c r="F16" s="371" t="s">
        <v>402</v>
      </c>
      <c r="G16" s="371">
        <f>_xlfn.XLOOKUP(D16,'Rent Roll - RPM'!$B$3:$B$60,'Rent Roll - RPM'!$D$3:$D$60,0)</f>
        <v>0</v>
      </c>
      <c r="H16" s="371">
        <v>1</v>
      </c>
      <c r="I16" s="371" t="s">
        <v>393</v>
      </c>
      <c r="J16" s="371" t="s">
        <v>73</v>
      </c>
      <c r="K16" s="371" t="s">
        <v>384</v>
      </c>
      <c r="L16" s="373">
        <v>2431</v>
      </c>
      <c r="M16" s="371">
        <v>2</v>
      </c>
      <c r="N16" s="374" t="s">
        <v>205</v>
      </c>
      <c r="O16" s="374" t="s">
        <v>347</v>
      </c>
      <c r="P16" s="375" t="str">
        <f>_xlfn.XLOOKUP(D16,'Rent Roll - RPM'!$B$3:$B$60,'Rent Roll - RPM'!$Q$3:$Q$60,"")</f>
        <v/>
      </c>
      <c r="Q16" s="375" t="str">
        <f>_xlfn.XLOOKUP($D16,'Rent Roll - RPM'!$B$3:$B$60,'Rent Roll - RPM'!$R$3:$R$60,"")</f>
        <v/>
      </c>
      <c r="R16" s="375" t="str">
        <f>_xlfn.XLOOKUP(D16,'Rent Roll - RPM'!$B$3:$B$60,'Rent Roll - RPM'!$S$3:$S$60,"")</f>
        <v/>
      </c>
      <c r="S16" s="376">
        <v>3600</v>
      </c>
      <c r="T16" s="376">
        <f t="shared" si="0"/>
        <v>1.4808720691073631</v>
      </c>
      <c r="V16" s="376"/>
      <c r="W16" s="376"/>
      <c r="X16" s="376"/>
    </row>
    <row r="17" spans="1:24" hidden="1" x14ac:dyDescent="0.25">
      <c r="A17" s="371">
        <v>1</v>
      </c>
      <c r="B17" s="371">
        <v>48</v>
      </c>
      <c r="C17" s="371">
        <v>27</v>
      </c>
      <c r="D17" s="371" t="str">
        <f t="shared" si="1"/>
        <v>22017L</v>
      </c>
      <c r="E17" s="371" t="str">
        <f>IFERROR(IF(_xlfn.XMATCH(D17,'Rent Roll - RPM'!$B$3:$B$60,0,1)&gt;0,"Match","No Match"),"No Match")</f>
        <v>No Match</v>
      </c>
      <c r="F17" s="371" t="s">
        <v>395</v>
      </c>
      <c r="G17" s="371">
        <f>_xlfn.XLOOKUP(D17,'Rent Roll - RPM'!$B$3:$B$60,'Rent Roll - RPM'!$D$3:$D$60,0)</f>
        <v>0</v>
      </c>
      <c r="H17" s="371">
        <v>1</v>
      </c>
      <c r="I17" s="371" t="s">
        <v>360</v>
      </c>
      <c r="J17" s="371" t="s">
        <v>69</v>
      </c>
      <c r="K17" s="371" t="s">
        <v>342</v>
      </c>
      <c r="L17" s="373">
        <v>1852</v>
      </c>
      <c r="M17" s="371">
        <v>2</v>
      </c>
      <c r="N17" s="374" t="s">
        <v>205</v>
      </c>
      <c r="O17" s="374" t="s">
        <v>347</v>
      </c>
      <c r="P17" s="371" t="str">
        <f>_xlfn.XLOOKUP(D17,'Rent Roll - RPM'!$B$3:$B$60,'Rent Roll - RPM'!$Q$3:$Q$60,"")</f>
        <v/>
      </c>
      <c r="Q17" s="371" t="str">
        <f>_xlfn.XLOOKUP($D17,'Rent Roll - RPM'!$B$3:$B$60,'Rent Roll - RPM'!$R$3:$R$60,"")</f>
        <v/>
      </c>
      <c r="R17" s="375" t="str">
        <f>_xlfn.XLOOKUP(D17,'Rent Roll - RPM'!$B$3:$B$60,'Rent Roll - RPM'!$S$3:$S$60,"")</f>
        <v/>
      </c>
      <c r="S17" s="376">
        <v>2950</v>
      </c>
      <c r="T17" s="376">
        <f t="shared" si="0"/>
        <v>1.5928725701943844</v>
      </c>
      <c r="V17" s="376"/>
      <c r="W17" s="376"/>
      <c r="X17" s="376"/>
    </row>
    <row r="18" spans="1:24" hidden="1" x14ac:dyDescent="0.25">
      <c r="A18" s="371">
        <v>3</v>
      </c>
      <c r="B18" s="371">
        <v>10</v>
      </c>
      <c r="C18" s="371">
        <v>34</v>
      </c>
      <c r="D18" s="371" t="str">
        <f t="shared" si="1"/>
        <v>22018L</v>
      </c>
      <c r="E18" s="371" t="str">
        <f>IFERROR(IF(_xlfn.XMATCH(D18,'Rent Roll - RPM'!$B$3:$B$60,0,1)&gt;0,"Match","No Match"),"No Match")</f>
        <v>No Match</v>
      </c>
      <c r="F18" s="371" t="s">
        <v>401</v>
      </c>
      <c r="G18" s="371">
        <f>_xlfn.XLOOKUP(D18,'Rent Roll - RPM'!$B$3:$B$60,'Rent Roll - RPM'!$D$3:$D$60,0)</f>
        <v>0</v>
      </c>
      <c r="H18" s="371">
        <v>1</v>
      </c>
      <c r="I18" s="371" t="s">
        <v>280</v>
      </c>
      <c r="J18" s="371" t="s">
        <v>71</v>
      </c>
      <c r="K18" s="371" t="s">
        <v>342</v>
      </c>
      <c r="L18" s="378">
        <v>1909</v>
      </c>
      <c r="M18" s="371">
        <v>2</v>
      </c>
      <c r="N18" s="374" t="s">
        <v>205</v>
      </c>
      <c r="O18" s="374" t="s">
        <v>347</v>
      </c>
      <c r="P18" s="375" t="str">
        <f>_xlfn.XLOOKUP(D18,'Rent Roll - RPM'!$B$3:$B$60,'Rent Roll - RPM'!$Q$3:$Q$60,"")</f>
        <v/>
      </c>
      <c r="Q18" s="375" t="str">
        <f>_xlfn.XLOOKUP($D18,'Rent Roll - RPM'!$B$3:$B$60,'Rent Roll - RPM'!$R$3:$R$60,"")</f>
        <v/>
      </c>
      <c r="R18" s="375" t="str">
        <f>_xlfn.XLOOKUP(D18,'Rent Roll - RPM'!$B$3:$B$60,'Rent Roll - RPM'!$S$3:$S$60,"")</f>
        <v/>
      </c>
      <c r="S18" s="376">
        <v>3150</v>
      </c>
      <c r="T18" s="376">
        <f t="shared" si="0"/>
        <v>1.6500785751702463</v>
      </c>
      <c r="V18" s="376"/>
      <c r="W18" s="376"/>
      <c r="X18" s="376"/>
    </row>
    <row r="19" spans="1:24" hidden="1" x14ac:dyDescent="0.25">
      <c r="A19" s="371">
        <v>1</v>
      </c>
      <c r="B19" s="371">
        <v>49</v>
      </c>
      <c r="C19" s="371">
        <v>26</v>
      </c>
      <c r="D19" s="371" t="str">
        <f t="shared" si="1"/>
        <v>22021L</v>
      </c>
      <c r="E19" s="371" t="str">
        <f>IFERROR(IF(_xlfn.XMATCH(D19,'Rent Roll - RPM'!$B$3:$B$60,0,1)&gt;0,"Match","No Match"),"No Match")</f>
        <v>No Match</v>
      </c>
      <c r="F19" s="371" t="s">
        <v>394</v>
      </c>
      <c r="G19" s="371">
        <f>_xlfn.XLOOKUP(D19,'Rent Roll - RPM'!$B$3:$B$60,'Rent Roll - RPM'!$D$3:$D$60,0)</f>
        <v>0</v>
      </c>
      <c r="H19" s="371">
        <v>1</v>
      </c>
      <c r="I19" s="371" t="s">
        <v>377</v>
      </c>
      <c r="J19" s="371" t="s">
        <v>71</v>
      </c>
      <c r="K19" s="371" t="s">
        <v>342</v>
      </c>
      <c r="L19" s="378">
        <v>1909</v>
      </c>
      <c r="M19" s="371">
        <v>2</v>
      </c>
      <c r="N19" s="374" t="s">
        <v>205</v>
      </c>
      <c r="O19" s="374" t="s">
        <v>347</v>
      </c>
      <c r="P19" s="371" t="str">
        <f>_xlfn.XLOOKUP(D19,'Rent Roll - RPM'!$B$3:$B$60,'Rent Roll - RPM'!$Q$3:$Q$60,"")</f>
        <v/>
      </c>
      <c r="Q19" s="371" t="str">
        <f>_xlfn.XLOOKUP($D19,'Rent Roll - RPM'!$B$3:$B$60,'Rent Roll - RPM'!$R$3:$R$60,"")</f>
        <v/>
      </c>
      <c r="R19" s="375" t="str">
        <f>_xlfn.XLOOKUP(D19,'Rent Roll - RPM'!$B$3:$B$60,'Rent Roll - RPM'!$S$3:$S$60,"")</f>
        <v/>
      </c>
      <c r="S19" s="376">
        <v>3150</v>
      </c>
      <c r="T19" s="376">
        <f t="shared" si="0"/>
        <v>1.6500785751702463</v>
      </c>
      <c r="V19" s="376"/>
      <c r="W19" s="376"/>
      <c r="X19" s="376"/>
    </row>
    <row r="20" spans="1:24" hidden="1" x14ac:dyDescent="0.25">
      <c r="A20" s="371">
        <v>1</v>
      </c>
      <c r="B20" s="371">
        <v>62</v>
      </c>
      <c r="C20" s="371">
        <v>6</v>
      </c>
      <c r="D20" s="371" t="str">
        <f t="shared" si="1"/>
        <v>22022F</v>
      </c>
      <c r="E20" s="371" t="str">
        <f>IFERROR(IF(_xlfn.XMATCH(D20,'Rent Roll - RPM'!$B$3:$B$60,0,1)&gt;0,"Match","No Match"),"No Match")</f>
        <v>No Match</v>
      </c>
      <c r="F20" s="371" t="s">
        <v>391</v>
      </c>
      <c r="G20" s="371">
        <f>_xlfn.XLOOKUP(D20,'Rent Roll - RPM'!$B$3:$B$60,'Rent Roll - RPM'!$D$3:$D$60,0)</f>
        <v>0</v>
      </c>
      <c r="H20" s="371">
        <v>1</v>
      </c>
      <c r="I20" s="371" t="s">
        <v>360</v>
      </c>
      <c r="J20" s="371" t="s">
        <v>69</v>
      </c>
      <c r="K20" s="371" t="s">
        <v>342</v>
      </c>
      <c r="L20" s="373">
        <v>1852</v>
      </c>
      <c r="M20" s="371">
        <v>1</v>
      </c>
      <c r="N20" s="374" t="s">
        <v>205</v>
      </c>
      <c r="O20" s="374" t="s">
        <v>347</v>
      </c>
      <c r="P20" s="371" t="str">
        <f>_xlfn.XLOOKUP(D20,'Rent Roll - RPM'!$B$3:$B$60,'Rent Roll - RPM'!$Q$3:$Q$60,"")</f>
        <v/>
      </c>
      <c r="Q20" s="371" t="str">
        <f>_xlfn.XLOOKUP($D20,'Rent Roll - RPM'!$B$3:$B$60,'Rent Roll - RPM'!$R$3:$R$60,"")</f>
        <v/>
      </c>
      <c r="R20" s="375" t="str">
        <f>_xlfn.XLOOKUP(D20,'Rent Roll - RPM'!$B$3:$B$60,'Rent Roll - RPM'!$S$3:$S$60,"")</f>
        <v/>
      </c>
      <c r="S20" s="376">
        <v>2950</v>
      </c>
      <c r="T20" s="376">
        <f t="shared" si="0"/>
        <v>1.5928725701943844</v>
      </c>
      <c r="V20" s="376"/>
      <c r="W20" s="376"/>
      <c r="X20" s="376"/>
    </row>
    <row r="21" spans="1:24" hidden="1" x14ac:dyDescent="0.25">
      <c r="A21" s="371">
        <v>3</v>
      </c>
      <c r="B21" s="371">
        <v>9</v>
      </c>
      <c r="C21" s="371">
        <v>33</v>
      </c>
      <c r="D21" s="371" t="str">
        <f t="shared" si="1"/>
        <v>22022L</v>
      </c>
      <c r="E21" s="371" t="str">
        <f>IFERROR(IF(_xlfn.XMATCH(D21,'Rent Roll - RPM'!$B$3:$B$60,0,1)&gt;0,"Match","No Match"),"No Match")</f>
        <v>No Match</v>
      </c>
      <c r="F21" s="371" t="s">
        <v>400</v>
      </c>
      <c r="G21" s="371">
        <f>_xlfn.XLOOKUP(D21,'Rent Roll - RPM'!$B$3:$B$60,'Rent Roll - RPM'!$D$3:$D$60,0)</f>
        <v>0</v>
      </c>
      <c r="H21" s="371">
        <v>1</v>
      </c>
      <c r="I21" s="371" t="s">
        <v>346</v>
      </c>
      <c r="J21" s="371" t="s">
        <v>69</v>
      </c>
      <c r="K21" s="371" t="s">
        <v>342</v>
      </c>
      <c r="L21" s="373">
        <v>1852</v>
      </c>
      <c r="M21" s="371">
        <v>2</v>
      </c>
      <c r="N21" s="374" t="s">
        <v>205</v>
      </c>
      <c r="O21" s="374" t="s">
        <v>347</v>
      </c>
      <c r="P21" s="375" t="str">
        <f>_xlfn.XLOOKUP(D21,'Rent Roll - RPM'!$B$3:$B$60,'Rent Roll - RPM'!$Q$3:$Q$60,"")</f>
        <v/>
      </c>
      <c r="Q21" s="375" t="str">
        <f>_xlfn.XLOOKUP($D21,'Rent Roll - RPM'!$B$3:$B$60,'Rent Roll - RPM'!$R$3:$R$60,"")</f>
        <v/>
      </c>
      <c r="R21" s="375" t="str">
        <f>_xlfn.XLOOKUP(D21,'Rent Roll - RPM'!$B$3:$B$60,'Rent Roll - RPM'!$S$3:$S$60,"")</f>
        <v/>
      </c>
      <c r="S21" s="376">
        <v>2950</v>
      </c>
      <c r="T21" s="376">
        <f t="shared" si="0"/>
        <v>1.5928725701943844</v>
      </c>
      <c r="V21" s="376"/>
      <c r="W21" s="376"/>
      <c r="X21" s="376"/>
    </row>
    <row r="22" spans="1:24" x14ac:dyDescent="0.25">
      <c r="A22" s="371">
        <v>2</v>
      </c>
      <c r="B22" s="371">
        <v>1</v>
      </c>
      <c r="C22" s="371">
        <v>68</v>
      </c>
      <c r="D22" s="371" t="str">
        <f>IF(ISNUMBER(SEARCH("Bobby Meadow",F22)),LEFT(F22,FIND(" ",F22)-1)&amp;"M",LEFT(F22,FIND(" ",F22)-1)&amp;MID(F22,FIND(" ",F22)+1,1))</f>
        <v>7303L</v>
      </c>
      <c r="E22" s="371" t="str">
        <f>IFERROR(IF(_xlfn.XMATCH(D22,'Rent Roll - RPM'!$B$3:$B$60,0,1)&gt;0,"Match","No Match"),"No Match")</f>
        <v>No Match</v>
      </c>
      <c r="F22" s="371" t="s">
        <v>420</v>
      </c>
      <c r="G22" s="371">
        <f>_xlfn.XLOOKUP(D22,'Rent Roll - RPM'!$B$3:$B$60,'Rent Roll - RPM'!$D$3:$D$60,0)</f>
        <v>0</v>
      </c>
      <c r="H22" s="371">
        <v>1</v>
      </c>
      <c r="I22" s="371" t="s">
        <v>379</v>
      </c>
      <c r="J22" s="371" t="s">
        <v>69</v>
      </c>
      <c r="K22" s="371" t="s">
        <v>342</v>
      </c>
      <c r="L22" s="373">
        <v>1852</v>
      </c>
      <c r="M22" s="371">
        <v>4</v>
      </c>
      <c r="N22" s="374">
        <v>45961</v>
      </c>
      <c r="O22" s="374" t="s">
        <v>343</v>
      </c>
      <c r="P22" s="375">
        <v>46127</v>
      </c>
      <c r="Q22" s="371" t="str">
        <f>_xlfn.XLOOKUP($D22,'Rent Roll - RPM'!$B$3:$B$60,'Rent Roll - RPM'!$R$3:$R$60,"")</f>
        <v/>
      </c>
      <c r="R22" s="375" t="str">
        <f>_xlfn.XLOOKUP(D22,'Rent Roll - RPM'!$B$3:$B$60,'Rent Roll - RPM'!$S$3:$S$60,"")</f>
        <v/>
      </c>
      <c r="S22" s="376">
        <v>2950</v>
      </c>
      <c r="T22" s="376">
        <f>S22/L22</f>
        <v>1.5928725701943844</v>
      </c>
      <c r="V22" s="376"/>
      <c r="W22" s="376"/>
      <c r="X22" s="376"/>
    </row>
    <row r="23" spans="1:24" hidden="1" x14ac:dyDescent="0.25">
      <c r="A23" s="371">
        <v>1</v>
      </c>
      <c r="B23" s="371">
        <v>6</v>
      </c>
      <c r="C23" s="371">
        <v>106</v>
      </c>
      <c r="D23" s="371" t="str">
        <f>IF(ISNUMBER(SEARCH("Bobby Meadow",F23)),LEFT(F23,FIND(" ",F23)-1)&amp;"M",LEFT(F23,FIND(" ",F23)-1)&amp;MID(F23,FIND(" ",F23)+1,1))</f>
        <v>7307H</v>
      </c>
      <c r="E23" s="371" t="str">
        <f>IFERROR(IF(_xlfn.XMATCH(D23,'Rent Roll - RPM'!$B$3:$B$60,0,1)&gt;0,"Match","No Match"),"No Match")</f>
        <v>No Match</v>
      </c>
      <c r="F23" s="371" t="s">
        <v>451</v>
      </c>
      <c r="G23" s="371">
        <f>_xlfn.XLOOKUP(D23,'Rent Roll - RPM'!$B$3:$B$60,'Rent Roll - RPM'!$D$3:$D$60,0)</f>
        <v>0</v>
      </c>
      <c r="H23" s="371">
        <v>1</v>
      </c>
      <c r="I23" s="371" t="s">
        <v>377</v>
      </c>
      <c r="J23" s="371" t="s">
        <v>71</v>
      </c>
      <c r="K23" s="371" t="s">
        <v>342</v>
      </c>
      <c r="L23" s="378">
        <v>1909</v>
      </c>
      <c r="M23" s="371">
        <v>6</v>
      </c>
      <c r="N23" s="374">
        <v>46006</v>
      </c>
      <c r="O23" s="374" t="s">
        <v>347</v>
      </c>
      <c r="P23" s="371" t="str">
        <f>_xlfn.XLOOKUP(D23,'Rent Roll - RPM'!$B$3:$B$60,'Rent Roll - RPM'!$Q$3:$Q$60,"")</f>
        <v/>
      </c>
      <c r="Q23" s="371" t="str">
        <f>_xlfn.XLOOKUP($D23,'Rent Roll - RPM'!$B$3:$B$60,'Rent Roll - RPM'!$R$3:$R$60,"")</f>
        <v/>
      </c>
      <c r="R23" s="375" t="str">
        <f>_xlfn.XLOOKUP(D23,'Rent Roll - RPM'!$B$3:$B$60,'Rent Roll - RPM'!$S$3:$S$60,"")</f>
        <v/>
      </c>
      <c r="S23" s="376">
        <v>3150</v>
      </c>
      <c r="T23" s="376">
        <f>S23/L23</f>
        <v>1.6500785751702463</v>
      </c>
      <c r="V23" s="376"/>
      <c r="W23" s="376"/>
      <c r="X23" s="376"/>
    </row>
    <row r="24" spans="1:24" hidden="1" x14ac:dyDescent="0.25">
      <c r="A24" s="371">
        <v>3</v>
      </c>
      <c r="B24" s="371">
        <v>15</v>
      </c>
      <c r="C24" s="371">
        <v>39</v>
      </c>
      <c r="D24" s="371" t="str">
        <f>IF(ISNUMBER(SEARCH("Bobby Meadow",F24)),LEFT(F24,FIND(" ",F24)-1)&amp;"M",LEFT(F24,FIND(" ",F24)-1)&amp;MID(F24,FIND(" ",F24)+1,1))</f>
        <v>7310C</v>
      </c>
      <c r="E24" s="371" t="str">
        <f>IFERROR(IF(_xlfn.XMATCH(D24,'Rent Roll - RPM'!$B$3:$B$60,0,1)&gt;0,"Match","No Match"),"No Match")</f>
        <v>No Match</v>
      </c>
      <c r="F24" s="371" t="s">
        <v>406</v>
      </c>
      <c r="G24" s="371">
        <f>_xlfn.XLOOKUP(D24,'Rent Roll - RPM'!$B$3:$B$60,'Rent Roll - RPM'!$D$3:$D$60,0)</f>
        <v>0</v>
      </c>
      <c r="H24" s="371">
        <v>1</v>
      </c>
      <c r="I24" s="371" t="s">
        <v>371</v>
      </c>
      <c r="J24" s="371" t="s">
        <v>65</v>
      </c>
      <c r="K24" s="371" t="s">
        <v>350</v>
      </c>
      <c r="L24" s="373">
        <v>1635</v>
      </c>
      <c r="M24" s="371">
        <v>2</v>
      </c>
      <c r="N24" s="374" t="s">
        <v>205</v>
      </c>
      <c r="O24" s="374" t="s">
        <v>347</v>
      </c>
      <c r="P24" s="375" t="str">
        <f>_xlfn.XLOOKUP(D24,'Rent Roll - RPM'!$B$3:$B$60,'Rent Roll - RPM'!$Q$3:$Q$60,"")</f>
        <v/>
      </c>
      <c r="Q24" s="375" t="str">
        <f>_xlfn.XLOOKUP($D24,'Rent Roll - RPM'!$B$3:$B$60,'Rent Roll - RPM'!$R$3:$R$60,"")</f>
        <v/>
      </c>
      <c r="R24" s="375" t="str">
        <f>_xlfn.XLOOKUP(D24,'Rent Roll - RPM'!$B$3:$B$60,'Rent Roll - RPM'!$S$3:$S$60,"")</f>
        <v/>
      </c>
      <c r="S24" s="376">
        <v>2650</v>
      </c>
      <c r="T24" s="376">
        <f>S24/L24</f>
        <v>1.620795107033639</v>
      </c>
      <c r="V24" s="376"/>
      <c r="W24" s="376"/>
      <c r="X24" s="376"/>
    </row>
    <row r="25" spans="1:24" hidden="1" x14ac:dyDescent="0.25">
      <c r="A25" s="371">
        <v>1</v>
      </c>
      <c r="B25" s="371">
        <v>7</v>
      </c>
      <c r="C25" s="371">
        <v>105</v>
      </c>
      <c r="D25" s="371" t="str">
        <f>IF(ISNUMBER(SEARCH("Bobby Meadow",F25)),LEFT(F25,FIND(" ",F25)-1)&amp;"M",LEFT(F25,FIND(" ",F25)-1)&amp;MID(F25,FIND(" ",F25)+1,1))</f>
        <v>7311H</v>
      </c>
      <c r="E25" s="371" t="str">
        <f>IFERROR(IF(_xlfn.XMATCH(D25,'Rent Roll - RPM'!$B$3:$B$60,0,1)&gt;0,"Match","No Match"),"No Match")</f>
        <v>No Match</v>
      </c>
      <c r="F25" s="371" t="s">
        <v>450</v>
      </c>
      <c r="G25" s="371">
        <f>_xlfn.XLOOKUP(D25,'Rent Roll - RPM'!$B$3:$B$60,'Rent Roll - RPM'!$D$3:$D$60,0)</f>
        <v>0</v>
      </c>
      <c r="H25" s="371">
        <v>1</v>
      </c>
      <c r="I25" s="371" t="s">
        <v>398</v>
      </c>
      <c r="J25" s="371" t="s">
        <v>71</v>
      </c>
      <c r="K25" s="371" t="s">
        <v>342</v>
      </c>
      <c r="L25" s="378">
        <v>1909</v>
      </c>
      <c r="M25" s="371">
        <v>6</v>
      </c>
      <c r="N25" s="374">
        <v>46006</v>
      </c>
      <c r="O25" s="374" t="s">
        <v>347</v>
      </c>
      <c r="P25" s="371" t="str">
        <f>_xlfn.XLOOKUP(D25,'Rent Roll - RPM'!$B$3:$B$60,'Rent Roll - RPM'!$Q$3:$Q$60,"")</f>
        <v/>
      </c>
      <c r="Q25" s="371" t="str">
        <f>_xlfn.XLOOKUP($D25,'Rent Roll - RPM'!$B$3:$B$60,'Rent Roll - RPM'!$R$3:$R$60,"")</f>
        <v/>
      </c>
      <c r="R25" s="375" t="str">
        <f>_xlfn.XLOOKUP(D25,'Rent Roll - RPM'!$B$3:$B$60,'Rent Roll - RPM'!$S$3:$S$60,"")</f>
        <v/>
      </c>
      <c r="S25" s="376">
        <v>3150</v>
      </c>
      <c r="T25" s="376">
        <f>S25/L25</f>
        <v>1.6500785751702463</v>
      </c>
      <c r="V25" s="376"/>
      <c r="W25" s="376"/>
      <c r="X25" s="376"/>
    </row>
    <row r="26" spans="1:24" hidden="1" x14ac:dyDescent="0.25">
      <c r="A26" s="371">
        <v>2</v>
      </c>
      <c r="B26" s="371">
        <v>3</v>
      </c>
      <c r="C26" s="371">
        <v>70</v>
      </c>
      <c r="D26" s="371" t="str">
        <f>IF(ISNUMBER(SEARCH("Bobby Meadow",F26)),LEFT(F26,FIND(" ",F26)-1)&amp;"M",LEFT(F26,FIND(" ",F26)-1)&amp;MID(F26,FIND(" ",F26)+1,1))</f>
        <v>7311L</v>
      </c>
      <c r="E26" s="371" t="str">
        <f>IFERROR(IF(_xlfn.XMATCH(D26,'Rent Roll - RPM'!$B$3:$B$60,0,1)&gt;0,"Match","No Match"),"No Match")</f>
        <v>No Match</v>
      </c>
      <c r="F26" s="371" t="s">
        <v>421</v>
      </c>
      <c r="G26" s="371">
        <f>_xlfn.XLOOKUP(D26,'Rent Roll - RPM'!$B$3:$B$60,'Rent Roll - RPM'!$D$3:$D$60,0)</f>
        <v>0</v>
      </c>
      <c r="H26" s="371">
        <v>1</v>
      </c>
      <c r="I26" s="371" t="s">
        <v>371</v>
      </c>
      <c r="J26" s="371" t="s">
        <v>65</v>
      </c>
      <c r="K26" s="371" t="s">
        <v>350</v>
      </c>
      <c r="L26" s="373">
        <v>1635</v>
      </c>
      <c r="M26" s="371">
        <v>4</v>
      </c>
      <c r="N26" s="374">
        <v>45961</v>
      </c>
      <c r="O26" s="374" t="s">
        <v>347</v>
      </c>
      <c r="P26" s="371" t="str">
        <f>_xlfn.XLOOKUP(D26,'Rent Roll - RPM'!$B$3:$B$60,'Rent Roll - RPM'!$Q$3:$Q$60,"")</f>
        <v/>
      </c>
      <c r="Q26" s="371" t="str">
        <f>_xlfn.XLOOKUP($D26,'Rent Roll - RPM'!$B$3:$B$60,'Rent Roll - RPM'!$R$3:$R$60,"")</f>
        <v/>
      </c>
      <c r="R26" s="375" t="str">
        <f>_xlfn.XLOOKUP(D26,'Rent Roll - RPM'!$B$3:$B$60,'Rent Roll - RPM'!$S$3:$S$60,"")</f>
        <v/>
      </c>
      <c r="S26" s="376">
        <v>2650</v>
      </c>
      <c r="T26" s="376">
        <f>S26/L26</f>
        <v>1.620795107033639</v>
      </c>
      <c r="V26" s="376"/>
      <c r="W26" s="376"/>
      <c r="X26" s="376"/>
    </row>
    <row r="27" spans="1:24" hidden="1" x14ac:dyDescent="0.25">
      <c r="A27" s="371">
        <v>3</v>
      </c>
      <c r="B27" s="371">
        <v>14</v>
      </c>
      <c r="C27" s="371">
        <v>38</v>
      </c>
      <c r="D27" s="371" t="str">
        <f>IF(ISNUMBER(SEARCH("Bobby Meadow",F27)),LEFT(F27,FIND(" ",F27)-1)&amp;"M",LEFT(F27,FIND(" ",F27)-1)&amp;MID(F27,FIND(" ",F27)+1,1))</f>
        <v>7314C</v>
      </c>
      <c r="E27" s="371" t="str">
        <f>IFERROR(IF(_xlfn.XMATCH(D27,'Rent Roll - RPM'!$B$3:$B$60,0,1)&gt;0,"Match","No Match"),"No Match")</f>
        <v>No Match</v>
      </c>
      <c r="F27" s="371" t="s">
        <v>405</v>
      </c>
      <c r="G27" s="371">
        <f>_xlfn.XLOOKUP(D27,'Rent Roll - RPM'!$B$3:$B$60,'Rent Roll - RPM'!$D$3:$D$60,0)</f>
        <v>0</v>
      </c>
      <c r="H27" s="371">
        <v>1</v>
      </c>
      <c r="I27" s="371" t="s">
        <v>356</v>
      </c>
      <c r="J27" s="371" t="s">
        <v>65</v>
      </c>
      <c r="K27" s="371" t="s">
        <v>350</v>
      </c>
      <c r="L27" s="373">
        <v>1635</v>
      </c>
      <c r="M27" s="371">
        <v>2</v>
      </c>
      <c r="N27" s="374" t="s">
        <v>205</v>
      </c>
      <c r="O27" s="374" t="s">
        <v>347</v>
      </c>
      <c r="P27" s="375" t="str">
        <f>_xlfn.XLOOKUP(D27,'Rent Roll - RPM'!$B$3:$B$60,'Rent Roll - RPM'!$Q$3:$Q$60,"")</f>
        <v/>
      </c>
      <c r="Q27" s="375" t="str">
        <f>_xlfn.XLOOKUP($D27,'Rent Roll - RPM'!$B$3:$B$60,'Rent Roll - RPM'!$R$3:$R$60,"")</f>
        <v/>
      </c>
      <c r="R27" s="375" t="str">
        <f>_xlfn.XLOOKUP(D27,'Rent Roll - RPM'!$B$3:$B$60,'Rent Roll - RPM'!$S$3:$S$60,"")</f>
        <v/>
      </c>
      <c r="S27" s="376">
        <v>2650</v>
      </c>
      <c r="T27" s="376">
        <f>S27/L27</f>
        <v>1.620795107033639</v>
      </c>
      <c r="V27" s="376"/>
      <c r="W27" s="376"/>
      <c r="X27" s="376"/>
    </row>
    <row r="28" spans="1:24" hidden="1" x14ac:dyDescent="0.25">
      <c r="A28" s="371">
        <v>3</v>
      </c>
      <c r="B28" s="371">
        <v>18</v>
      </c>
      <c r="C28" s="371">
        <v>62</v>
      </c>
      <c r="D28" s="371" t="str">
        <f>IF(ISNUMBER(SEARCH("Bobby Meadow",F28)),LEFT(F28,FIND(" ",F28)-1)&amp;"M",LEFT(F28,FIND(" ",F28)-1)&amp;MID(F28,FIND(" ",F28)+1,1))</f>
        <v>7314L</v>
      </c>
      <c r="E28" s="371" t="str">
        <f>IFERROR(IF(_xlfn.XMATCH(D28,'Rent Roll - RPM'!$B$3:$B$60,0,1)&gt;0,"Match","No Match"),"No Match")</f>
        <v>No Match</v>
      </c>
      <c r="F28" s="371" t="s">
        <v>416</v>
      </c>
      <c r="G28" s="371">
        <f>_xlfn.XLOOKUP(D28,'Rent Roll - RPM'!$B$3:$B$60,'Rent Roll - RPM'!$D$3:$D$60,0)</f>
        <v>0</v>
      </c>
      <c r="H28" s="371">
        <v>1</v>
      </c>
      <c r="I28" s="371" t="s">
        <v>356</v>
      </c>
      <c r="J28" s="371" t="s">
        <v>65</v>
      </c>
      <c r="K28" s="371" t="s">
        <v>350</v>
      </c>
      <c r="L28" s="373">
        <v>1635</v>
      </c>
      <c r="M28" s="371">
        <v>4</v>
      </c>
      <c r="N28" s="374">
        <v>45961</v>
      </c>
      <c r="O28" s="374" t="s">
        <v>347</v>
      </c>
      <c r="P28" s="371" t="str">
        <f>_xlfn.XLOOKUP(D28,'Rent Roll - RPM'!$B$3:$B$60,'Rent Roll - RPM'!$Q$3:$Q$60,"")</f>
        <v/>
      </c>
      <c r="Q28" s="371" t="str">
        <f>_xlfn.XLOOKUP($D28,'Rent Roll - RPM'!$B$3:$B$60,'Rent Roll - RPM'!$R$3:$R$60,"")</f>
        <v/>
      </c>
      <c r="R28" s="375" t="str">
        <f>_xlfn.XLOOKUP(D28,'Rent Roll - RPM'!$B$3:$B$60,'Rent Roll - RPM'!$S$3:$S$60,"")</f>
        <v/>
      </c>
      <c r="S28" s="376">
        <v>2650</v>
      </c>
      <c r="T28" s="376">
        <f>S28/L28</f>
        <v>1.620795107033639</v>
      </c>
      <c r="V28" s="376"/>
      <c r="W28" s="376"/>
      <c r="X28" s="376"/>
    </row>
    <row r="29" spans="1:24" hidden="1" x14ac:dyDescent="0.25">
      <c r="A29" s="371">
        <v>1</v>
      </c>
      <c r="B29" s="371">
        <v>8</v>
      </c>
      <c r="C29" s="371">
        <v>104</v>
      </c>
      <c r="D29" s="371" t="str">
        <f>IF(ISNUMBER(SEARCH("Bobby Meadow",F29)),LEFT(F29,FIND(" ",F29)-1)&amp;"M",LEFT(F29,FIND(" ",F29)-1)&amp;MID(F29,FIND(" ",F29)+1,1))</f>
        <v>7315H</v>
      </c>
      <c r="E29" s="371" t="str">
        <f>IFERROR(IF(_xlfn.XMATCH(D29,'Rent Roll - RPM'!$B$3:$B$60,0,1)&gt;0,"Match","No Match"),"No Match")</f>
        <v>No Match</v>
      </c>
      <c r="F29" s="371" t="s">
        <v>449</v>
      </c>
      <c r="G29" s="371">
        <f>_xlfn.XLOOKUP(D29,'Rent Roll - RPM'!$B$3:$B$60,'Rent Roll - RPM'!$D$3:$D$60,0)</f>
        <v>0</v>
      </c>
      <c r="H29" s="371">
        <v>1</v>
      </c>
      <c r="I29" s="371" t="s">
        <v>379</v>
      </c>
      <c r="J29" s="371" t="s">
        <v>69</v>
      </c>
      <c r="K29" s="371" t="s">
        <v>342</v>
      </c>
      <c r="L29" s="373">
        <v>1852</v>
      </c>
      <c r="M29" s="371">
        <v>6</v>
      </c>
      <c r="N29" s="374">
        <v>46006</v>
      </c>
      <c r="O29" s="374" t="s">
        <v>347</v>
      </c>
      <c r="P29" s="371" t="str">
        <f>_xlfn.XLOOKUP(D29,'Rent Roll - RPM'!$B$3:$B$60,'Rent Roll - RPM'!$Q$3:$Q$60,"")</f>
        <v/>
      </c>
      <c r="Q29" s="371" t="str">
        <f>_xlfn.XLOOKUP($D29,'Rent Roll - RPM'!$B$3:$B$60,'Rent Roll - RPM'!$R$3:$R$60,"")</f>
        <v/>
      </c>
      <c r="R29" s="375" t="str">
        <f>_xlfn.XLOOKUP(D29,'Rent Roll - RPM'!$B$3:$B$60,'Rent Roll - RPM'!$S$3:$S$60,"")</f>
        <v/>
      </c>
      <c r="S29" s="376">
        <v>2950</v>
      </c>
      <c r="T29" s="376">
        <f>S29/L29</f>
        <v>1.5928725701943844</v>
      </c>
      <c r="V29" s="376"/>
      <c r="W29" s="376"/>
      <c r="X29" s="376"/>
    </row>
    <row r="30" spans="1:24" hidden="1" x14ac:dyDescent="0.25">
      <c r="A30" s="371">
        <v>2</v>
      </c>
      <c r="B30" s="371">
        <v>4</v>
      </c>
      <c r="C30" s="371">
        <v>71</v>
      </c>
      <c r="D30" s="371" t="str">
        <f>IF(ISNUMBER(SEARCH("Bobby Meadow",F30)),LEFT(F30,FIND(" ",F30)-1)&amp;"M",LEFT(F30,FIND(" ",F30)-1)&amp;MID(F30,FIND(" ",F30)+1,1))</f>
        <v>7315L</v>
      </c>
      <c r="E30" s="371" t="str">
        <f>IFERROR(IF(_xlfn.XMATCH(D30,'Rent Roll - RPM'!$B$3:$B$60,0,1)&gt;0,"Match","No Match"),"No Match")</f>
        <v>No Match</v>
      </c>
      <c r="F30" s="371" t="s">
        <v>422</v>
      </c>
      <c r="G30" s="371">
        <f>_xlfn.XLOOKUP(D30,'Rent Roll - RPM'!$B$3:$B$60,'Rent Roll - RPM'!$D$3:$D$60,0)</f>
        <v>0</v>
      </c>
      <c r="H30" s="371">
        <v>1</v>
      </c>
      <c r="I30" s="371" t="s">
        <v>349</v>
      </c>
      <c r="J30" s="371" t="s">
        <v>65</v>
      </c>
      <c r="K30" s="371" t="s">
        <v>350</v>
      </c>
      <c r="L30" s="373">
        <v>1635</v>
      </c>
      <c r="M30" s="371">
        <v>4</v>
      </c>
      <c r="N30" s="374">
        <v>45961</v>
      </c>
      <c r="O30" s="374" t="s">
        <v>347</v>
      </c>
      <c r="P30" s="371" t="str">
        <f>_xlfn.XLOOKUP(D30,'Rent Roll - RPM'!$B$3:$B$60,'Rent Roll - RPM'!$Q$3:$Q$60,"")</f>
        <v/>
      </c>
      <c r="Q30" s="371" t="str">
        <f>_xlfn.XLOOKUP($D30,'Rent Roll - RPM'!$B$3:$B$60,'Rent Roll - RPM'!$R$3:$R$60,"")</f>
        <v/>
      </c>
      <c r="R30" s="375" t="str">
        <f>_xlfn.XLOOKUP(D30,'Rent Roll - RPM'!$B$3:$B$60,'Rent Roll - RPM'!$S$3:$S$60,"")</f>
        <v/>
      </c>
      <c r="S30" s="376">
        <v>2650</v>
      </c>
      <c r="T30" s="376">
        <f>S30/L30</f>
        <v>1.620795107033639</v>
      </c>
      <c r="V30" s="376"/>
      <c r="W30" s="376"/>
      <c r="X30" s="376"/>
    </row>
    <row r="31" spans="1:24" hidden="1" x14ac:dyDescent="0.25">
      <c r="A31" s="371">
        <v>3</v>
      </c>
      <c r="B31" s="371">
        <v>13</v>
      </c>
      <c r="C31" s="371">
        <v>37</v>
      </c>
      <c r="D31" s="371" t="str">
        <f>IF(ISNUMBER(SEARCH("Bobby Meadow",F31)),LEFT(F31,FIND(" ",F31)-1)&amp;"M",LEFT(F31,FIND(" ",F31)-1)&amp;MID(F31,FIND(" ",F31)+1,1))</f>
        <v>7318C</v>
      </c>
      <c r="E31" s="371" t="str">
        <f>IFERROR(IF(_xlfn.XMATCH(D31,'Rent Roll - RPM'!$B$3:$B$60,0,1)&gt;0,"Match","No Match"),"No Match")</f>
        <v>No Match</v>
      </c>
      <c r="F31" s="371" t="s">
        <v>404</v>
      </c>
      <c r="G31" s="371">
        <f>_xlfn.XLOOKUP(D31,'Rent Roll - RPM'!$B$3:$B$60,'Rent Roll - RPM'!$D$3:$D$60,0)</f>
        <v>0</v>
      </c>
      <c r="H31" s="371">
        <v>1</v>
      </c>
      <c r="I31" s="371" t="s">
        <v>280</v>
      </c>
      <c r="J31" s="371" t="s">
        <v>71</v>
      </c>
      <c r="K31" s="371" t="s">
        <v>342</v>
      </c>
      <c r="L31" s="378">
        <v>1909</v>
      </c>
      <c r="M31" s="371">
        <v>2</v>
      </c>
      <c r="N31" s="374" t="s">
        <v>205</v>
      </c>
      <c r="O31" s="374" t="s">
        <v>347</v>
      </c>
      <c r="P31" s="375" t="str">
        <f>_xlfn.XLOOKUP(D31,'Rent Roll - RPM'!$B$3:$B$60,'Rent Roll - RPM'!$Q$3:$Q$60,"")</f>
        <v/>
      </c>
      <c r="Q31" s="375" t="str">
        <f>_xlfn.XLOOKUP($D31,'Rent Roll - RPM'!$B$3:$B$60,'Rent Roll - RPM'!$R$3:$R$60,"")</f>
        <v/>
      </c>
      <c r="R31" s="375" t="str">
        <f>_xlfn.XLOOKUP(D31,'Rent Roll - RPM'!$B$3:$B$60,'Rent Roll - RPM'!$S$3:$S$60,"")</f>
        <v/>
      </c>
      <c r="S31" s="376">
        <v>3150</v>
      </c>
      <c r="T31" s="376">
        <f>S31/L31</f>
        <v>1.6500785751702463</v>
      </c>
      <c r="V31" s="376"/>
      <c r="W31" s="376"/>
      <c r="X31" s="376"/>
    </row>
    <row r="32" spans="1:24" hidden="1" x14ac:dyDescent="0.25">
      <c r="A32" s="371">
        <v>2</v>
      </c>
      <c r="B32" s="371">
        <v>27</v>
      </c>
      <c r="C32" s="371">
        <v>117</v>
      </c>
      <c r="D32" s="371" t="str">
        <f>IF(ISNUMBER(SEARCH("Bobby Meadow",F32)),LEFT(F32,FIND(" ",F32)-1)&amp;"M",LEFT(F32,FIND(" ",F32)-1)&amp;MID(F32,FIND(" ",F32)+1,1))</f>
        <v>7318H</v>
      </c>
      <c r="E32" s="371" t="str">
        <f>IFERROR(IF(_xlfn.XMATCH(D32,'Rent Roll - RPM'!$B$3:$B$60,0,1)&gt;0,"Match","No Match"),"No Match")</f>
        <v>No Match</v>
      </c>
      <c r="F32" s="371" t="s">
        <v>457</v>
      </c>
      <c r="G32" s="371">
        <f>_xlfn.XLOOKUP(D32,'Rent Roll - RPM'!$B$3:$B$60,'Rent Roll - RPM'!$D$3:$D$60,0)</f>
        <v>0</v>
      </c>
      <c r="H32" s="371">
        <v>1</v>
      </c>
      <c r="I32" s="371" t="s">
        <v>349</v>
      </c>
      <c r="J32" s="371" t="s">
        <v>65</v>
      </c>
      <c r="K32" s="371" t="s">
        <v>350</v>
      </c>
      <c r="L32" s="373">
        <v>1635</v>
      </c>
      <c r="M32" s="371">
        <v>6</v>
      </c>
      <c r="N32" s="374">
        <v>46006</v>
      </c>
      <c r="O32" s="374" t="s">
        <v>347</v>
      </c>
      <c r="P32" s="371" t="str">
        <f>_xlfn.XLOOKUP(D32,'Rent Roll - RPM'!$B$3:$B$60,'Rent Roll - RPM'!$Q$3:$Q$60,"")</f>
        <v/>
      </c>
      <c r="Q32" s="371" t="str">
        <f>_xlfn.XLOOKUP($D32,'Rent Roll - RPM'!$B$3:$B$60,'Rent Roll - RPM'!$R$3:$R$60,"")</f>
        <v/>
      </c>
      <c r="R32" s="375" t="str">
        <f>_xlfn.XLOOKUP(D32,'Rent Roll - RPM'!$B$3:$B$60,'Rent Roll - RPM'!$S$3:$S$60,"")</f>
        <v/>
      </c>
      <c r="S32" s="376">
        <v>2650</v>
      </c>
      <c r="T32" s="376">
        <f>S32/L32</f>
        <v>1.620795107033639</v>
      </c>
      <c r="V32" s="376"/>
      <c r="W32" s="376"/>
      <c r="X32" s="376"/>
    </row>
    <row r="33" spans="1:24" hidden="1" x14ac:dyDescent="0.25">
      <c r="A33" s="371">
        <v>3</v>
      </c>
      <c r="B33" s="371">
        <v>19</v>
      </c>
      <c r="C33" s="371">
        <v>63</v>
      </c>
      <c r="D33" s="371" t="str">
        <f>IF(ISNUMBER(SEARCH("Bobby Meadow",F33)),LEFT(F33,FIND(" ",F33)-1)&amp;"M",LEFT(F33,FIND(" ",F33)-1)&amp;MID(F33,FIND(" ",F33)+1,1))</f>
        <v>7318L</v>
      </c>
      <c r="E33" s="371" t="str">
        <f>IFERROR(IF(_xlfn.XMATCH(D33,'Rent Roll - RPM'!$B$3:$B$60,0,1)&gt;0,"Match","No Match"),"No Match")</f>
        <v>No Match</v>
      </c>
      <c r="F33" s="371" t="s">
        <v>417</v>
      </c>
      <c r="G33" s="371">
        <f>_xlfn.XLOOKUP(D33,'Rent Roll - RPM'!$B$3:$B$60,'Rent Roll - RPM'!$D$3:$D$60,0)</f>
        <v>0</v>
      </c>
      <c r="H33" s="371">
        <v>1</v>
      </c>
      <c r="I33" s="371" t="s">
        <v>354</v>
      </c>
      <c r="J33" s="371" t="s">
        <v>323</v>
      </c>
      <c r="K33" s="371" t="s">
        <v>350</v>
      </c>
      <c r="L33" s="377">
        <v>1425</v>
      </c>
      <c r="M33" s="371">
        <v>4</v>
      </c>
      <c r="N33" s="374">
        <v>45961</v>
      </c>
      <c r="O33" s="374" t="s">
        <v>347</v>
      </c>
      <c r="P33" s="371" t="str">
        <f>_xlfn.XLOOKUP(D33,'Rent Roll - RPM'!$B$3:$B$60,'Rent Roll - RPM'!$Q$3:$Q$60,"")</f>
        <v/>
      </c>
      <c r="Q33" s="371" t="str">
        <f>_xlfn.XLOOKUP($D33,'Rent Roll - RPM'!$B$3:$B$60,'Rent Roll - RPM'!$R$3:$R$60,"")</f>
        <v/>
      </c>
      <c r="R33" s="375" t="str">
        <f>_xlfn.XLOOKUP(D33,'Rent Roll - RPM'!$B$3:$B$60,'Rent Roll - RPM'!$S$3:$S$60,"")</f>
        <v/>
      </c>
      <c r="S33" s="376">
        <v>2450</v>
      </c>
      <c r="T33" s="376">
        <f>S33/L33</f>
        <v>1.7192982456140351</v>
      </c>
      <c r="V33" s="376"/>
      <c r="W33" s="376"/>
      <c r="X33" s="376"/>
    </row>
    <row r="34" spans="1:24" hidden="1" x14ac:dyDescent="0.25">
      <c r="A34" s="371">
        <v>1</v>
      </c>
      <c r="B34" s="371">
        <v>9</v>
      </c>
      <c r="C34" s="371">
        <v>103</v>
      </c>
      <c r="D34" s="371" t="str">
        <f>IF(ISNUMBER(SEARCH("Bobby Meadow",F34)),LEFT(F34,FIND(" ",F34)-1)&amp;"M",LEFT(F34,FIND(" ",F34)-1)&amp;MID(F34,FIND(" ",F34)+1,1))</f>
        <v>7319H</v>
      </c>
      <c r="E34" s="371" t="str">
        <f>IFERROR(IF(_xlfn.XMATCH(D34,'Rent Roll - RPM'!$B$3:$B$60,0,1)&gt;0,"Match","No Match"),"No Match")</f>
        <v>No Match</v>
      </c>
      <c r="F34" s="371" t="s">
        <v>448</v>
      </c>
      <c r="G34" s="371">
        <f>_xlfn.XLOOKUP(D34,'Rent Roll - RPM'!$B$3:$B$60,'Rent Roll - RPM'!$D$3:$D$60,0)</f>
        <v>0</v>
      </c>
      <c r="H34" s="371">
        <v>1</v>
      </c>
      <c r="I34" s="371" t="s">
        <v>360</v>
      </c>
      <c r="J34" s="371" t="s">
        <v>69</v>
      </c>
      <c r="K34" s="371" t="s">
        <v>342</v>
      </c>
      <c r="L34" s="373">
        <v>1852</v>
      </c>
      <c r="M34" s="371">
        <v>6</v>
      </c>
      <c r="N34" s="374">
        <v>46006</v>
      </c>
      <c r="O34" s="374" t="s">
        <v>347</v>
      </c>
      <c r="P34" s="371" t="str">
        <f>_xlfn.XLOOKUP(D34,'Rent Roll - RPM'!$B$3:$B$60,'Rent Roll - RPM'!$Q$3:$Q$60,"")</f>
        <v/>
      </c>
      <c r="Q34" s="371" t="str">
        <f>_xlfn.XLOOKUP($D34,'Rent Roll - RPM'!$B$3:$B$60,'Rent Roll - RPM'!$R$3:$R$60,"")</f>
        <v/>
      </c>
      <c r="R34" s="375" t="str">
        <f>_xlfn.XLOOKUP(D34,'Rent Roll - RPM'!$B$3:$B$60,'Rent Roll - RPM'!$S$3:$S$60,"")</f>
        <v/>
      </c>
      <c r="S34" s="376">
        <v>2950</v>
      </c>
      <c r="T34" s="376">
        <f>S34/L34</f>
        <v>1.5928725701943844</v>
      </c>
      <c r="V34" s="376"/>
      <c r="W34" s="376"/>
      <c r="X34" s="376"/>
    </row>
    <row r="35" spans="1:24" hidden="1" x14ac:dyDescent="0.25">
      <c r="A35" s="371">
        <v>2</v>
      </c>
      <c r="B35" s="371">
        <v>5</v>
      </c>
      <c r="C35" s="371">
        <v>72</v>
      </c>
      <c r="D35" s="371" t="str">
        <f>IF(ISNUMBER(SEARCH("Bobby Meadow",F35)),LEFT(F35,FIND(" ",F35)-1)&amp;"M",LEFT(F35,FIND(" ",F35)-1)&amp;MID(F35,FIND(" ",F35)+1,1))</f>
        <v>7319L</v>
      </c>
      <c r="E35" s="371" t="str">
        <f>IFERROR(IF(_xlfn.XMATCH(D35,'Rent Roll - RPM'!$B$3:$B$60,0,1)&gt;0,"Match","No Match"),"No Match")</f>
        <v>No Match</v>
      </c>
      <c r="F35" s="371" t="s">
        <v>423</v>
      </c>
      <c r="G35" s="371">
        <f>_xlfn.XLOOKUP(D35,'Rent Roll - RPM'!$B$3:$B$60,'Rent Roll - RPM'!$D$3:$D$60,0)</f>
        <v>0</v>
      </c>
      <c r="H35" s="371">
        <v>1</v>
      </c>
      <c r="I35" s="371" t="s">
        <v>374</v>
      </c>
      <c r="J35" s="371" t="s">
        <v>323</v>
      </c>
      <c r="K35" s="371" t="s">
        <v>350</v>
      </c>
      <c r="L35" s="377">
        <v>1425</v>
      </c>
      <c r="M35" s="371">
        <v>4</v>
      </c>
      <c r="N35" s="374">
        <v>45961</v>
      </c>
      <c r="O35" s="374" t="s">
        <v>347</v>
      </c>
      <c r="P35" s="371" t="str">
        <f>_xlfn.XLOOKUP(D35,'Rent Roll - RPM'!$B$3:$B$60,'Rent Roll - RPM'!$Q$3:$Q$60,"")</f>
        <v/>
      </c>
      <c r="Q35" s="371" t="str">
        <f>_xlfn.XLOOKUP($D35,'Rent Roll - RPM'!$B$3:$B$60,'Rent Roll - RPM'!$R$3:$R$60,"")</f>
        <v/>
      </c>
      <c r="R35" s="375" t="str">
        <f>_xlfn.XLOOKUP(D35,'Rent Roll - RPM'!$B$3:$B$60,'Rent Roll - RPM'!$S$3:$S$60,"")</f>
        <v/>
      </c>
      <c r="S35" s="376">
        <v>2450</v>
      </c>
      <c r="T35" s="376">
        <f>S35/L35</f>
        <v>1.7192982456140351</v>
      </c>
      <c r="V35" s="376"/>
      <c r="W35" s="376"/>
      <c r="X35" s="376"/>
    </row>
    <row r="36" spans="1:24" hidden="1" x14ac:dyDescent="0.25">
      <c r="A36" s="371">
        <v>2</v>
      </c>
      <c r="B36" s="371">
        <v>26</v>
      </c>
      <c r="C36" s="371">
        <v>116</v>
      </c>
      <c r="D36" s="371" t="str">
        <f>IF(ISNUMBER(SEARCH("Bobby Meadow",F36)),LEFT(F36,FIND(" ",F36)-1)&amp;"M",LEFT(F36,FIND(" ",F36)-1)&amp;MID(F36,FIND(" ",F36)+1,1))</f>
        <v>7322H</v>
      </c>
      <c r="E36" s="371" t="str">
        <f>IFERROR(IF(_xlfn.XMATCH(D36,'Rent Roll - RPM'!$B$3:$B$60,0,1)&gt;0,"Match","No Match"),"No Match")</f>
        <v>No Match</v>
      </c>
      <c r="F36" s="371" t="s">
        <v>456</v>
      </c>
      <c r="G36" s="371">
        <f>_xlfn.XLOOKUP(D36,'Rent Roll - RPM'!$B$3:$B$60,'Rent Roll - RPM'!$D$3:$D$60,0)</f>
        <v>0</v>
      </c>
      <c r="H36" s="371">
        <v>1</v>
      </c>
      <c r="I36" s="371" t="s">
        <v>369</v>
      </c>
      <c r="J36" s="371" t="s">
        <v>323</v>
      </c>
      <c r="K36" s="371" t="s">
        <v>350</v>
      </c>
      <c r="L36" s="377">
        <v>1425</v>
      </c>
      <c r="M36" s="371">
        <v>6</v>
      </c>
      <c r="N36" s="374">
        <v>46006</v>
      </c>
      <c r="O36" s="374" t="s">
        <v>347</v>
      </c>
      <c r="P36" s="371" t="str">
        <f>_xlfn.XLOOKUP(D36,'Rent Roll - RPM'!$B$3:$B$60,'Rent Roll - RPM'!$Q$3:$Q$60,"")</f>
        <v/>
      </c>
      <c r="Q36" s="371" t="str">
        <f>_xlfn.XLOOKUP($D36,'Rent Roll - RPM'!$B$3:$B$60,'Rent Roll - RPM'!$R$3:$R$60,"")</f>
        <v/>
      </c>
      <c r="R36" s="375" t="str">
        <f>_xlfn.XLOOKUP(D36,'Rent Roll - RPM'!$B$3:$B$60,'Rent Roll - RPM'!$S$3:$S$60,"")</f>
        <v/>
      </c>
      <c r="S36" s="376">
        <v>2450</v>
      </c>
      <c r="T36" s="376">
        <f>S36/L36</f>
        <v>1.7192982456140351</v>
      </c>
      <c r="V36" s="376"/>
      <c r="W36" s="376"/>
      <c r="X36" s="376"/>
    </row>
    <row r="37" spans="1:24" hidden="1" x14ac:dyDescent="0.25">
      <c r="A37" s="371">
        <v>3</v>
      </c>
      <c r="B37" s="371">
        <v>20</v>
      </c>
      <c r="C37" s="371">
        <v>64</v>
      </c>
      <c r="D37" s="371" t="str">
        <f>IF(ISNUMBER(SEARCH("Bobby Meadow",F37)),LEFT(F37,FIND(" ",F37)-1)&amp;"M",LEFT(F37,FIND(" ",F37)-1)&amp;MID(F37,FIND(" ",F37)+1,1))</f>
        <v>7322L</v>
      </c>
      <c r="E37" s="371" t="str">
        <f>IFERROR(IF(_xlfn.XMATCH(D37,'Rent Roll - RPM'!$B$3:$B$60,0,1)&gt;0,"Match","No Match"),"No Match")</f>
        <v>No Match</v>
      </c>
      <c r="F37" s="371" t="s">
        <v>418</v>
      </c>
      <c r="G37" s="371">
        <f>_xlfn.XLOOKUP(D37,'Rent Roll - RPM'!$B$3:$B$60,'Rent Roll - RPM'!$D$3:$D$60,0)</f>
        <v>0</v>
      </c>
      <c r="H37" s="371">
        <v>1</v>
      </c>
      <c r="I37" s="371" t="s">
        <v>362</v>
      </c>
      <c r="J37" s="371" t="s">
        <v>22</v>
      </c>
      <c r="K37" s="371" t="s">
        <v>342</v>
      </c>
      <c r="L37" s="373">
        <v>1685</v>
      </c>
      <c r="M37" s="371">
        <v>4</v>
      </c>
      <c r="N37" s="374">
        <v>45961</v>
      </c>
      <c r="O37" s="374" t="s">
        <v>347</v>
      </c>
      <c r="P37" s="371" t="str">
        <f>_xlfn.XLOOKUP(D37,'Rent Roll - RPM'!$B$3:$B$60,'Rent Roll - RPM'!$Q$3:$Q$60,"")</f>
        <v/>
      </c>
      <c r="Q37" s="371" t="str">
        <f>_xlfn.XLOOKUP($D37,'Rent Roll - RPM'!$B$3:$B$60,'Rent Roll - RPM'!$R$3:$R$60,"")</f>
        <v/>
      </c>
      <c r="R37" s="375" t="str">
        <f>_xlfn.XLOOKUP(D37,'Rent Roll - RPM'!$B$3:$B$60,'Rent Roll - RPM'!$S$3:$S$60,"")</f>
        <v/>
      </c>
      <c r="S37" s="376">
        <v>2750</v>
      </c>
      <c r="T37" s="376">
        <f>S37/L37</f>
        <v>1.6320474777448071</v>
      </c>
      <c r="V37" s="376"/>
      <c r="W37" s="376"/>
      <c r="X37" s="376"/>
    </row>
    <row r="38" spans="1:24" hidden="1" x14ac:dyDescent="0.25">
      <c r="A38" s="371">
        <v>2</v>
      </c>
      <c r="B38" s="371">
        <v>6</v>
      </c>
      <c r="C38" s="371">
        <v>73</v>
      </c>
      <c r="D38" s="371" t="str">
        <f>IF(ISNUMBER(SEARCH("Bobby Meadow",F38)),LEFT(F38,FIND(" ",F38)-1)&amp;"M",LEFT(F38,FIND(" ",F38)-1)&amp;MID(F38,FIND(" ",F38)+1,1))</f>
        <v>7323L</v>
      </c>
      <c r="E38" s="371" t="str">
        <f>IFERROR(IF(_xlfn.XMATCH(D38,'Rent Roll - RPM'!$B$3:$B$60,0,1)&gt;0,"Match","No Match"),"No Match")</f>
        <v>No Match</v>
      </c>
      <c r="F38" s="371" t="s">
        <v>424</v>
      </c>
      <c r="G38" s="371">
        <f>_xlfn.XLOOKUP(D38,'Rent Roll - RPM'!$B$3:$B$60,'Rent Roll - RPM'!$D$3:$D$60,0)</f>
        <v>0</v>
      </c>
      <c r="H38" s="371">
        <v>1</v>
      </c>
      <c r="I38" s="371" t="s">
        <v>371</v>
      </c>
      <c r="J38" s="371" t="s">
        <v>65</v>
      </c>
      <c r="K38" s="371" t="s">
        <v>350</v>
      </c>
      <c r="L38" s="373">
        <v>1635</v>
      </c>
      <c r="M38" s="371">
        <v>4</v>
      </c>
      <c r="N38" s="374">
        <v>45961</v>
      </c>
      <c r="O38" s="374" t="s">
        <v>347</v>
      </c>
      <c r="P38" s="371" t="str">
        <f>_xlfn.XLOOKUP(D38,'Rent Roll - RPM'!$B$3:$B$60,'Rent Roll - RPM'!$Q$3:$Q$60,"")</f>
        <v/>
      </c>
      <c r="Q38" s="371" t="str">
        <f>_xlfn.XLOOKUP($D38,'Rent Roll - RPM'!$B$3:$B$60,'Rent Roll - RPM'!$R$3:$R$60,"")</f>
        <v/>
      </c>
      <c r="R38" s="375" t="str">
        <f>_xlfn.XLOOKUP(D38,'Rent Roll - RPM'!$B$3:$B$60,'Rent Roll - RPM'!$S$3:$S$60,"")</f>
        <v/>
      </c>
      <c r="S38" s="376">
        <v>2650</v>
      </c>
      <c r="T38" s="376">
        <f>S38/L38</f>
        <v>1.620795107033639</v>
      </c>
      <c r="V38" s="376"/>
      <c r="W38" s="376"/>
      <c r="X38" s="376"/>
    </row>
    <row r="39" spans="1:24" hidden="1" x14ac:dyDescent="0.25">
      <c r="A39" s="371">
        <v>2</v>
      </c>
      <c r="B39" s="371">
        <v>25</v>
      </c>
      <c r="C39" s="371">
        <v>115</v>
      </c>
      <c r="D39" s="371" t="str">
        <f>IF(ISNUMBER(SEARCH("Bobby Meadow",F39)),LEFT(F39,FIND(" ",F39)-1)&amp;"M",LEFT(F39,FIND(" ",F39)-1)&amp;MID(F39,FIND(" ",F39)+1,1))</f>
        <v>7326H</v>
      </c>
      <c r="E39" s="371" t="str">
        <f>IFERROR(IF(_xlfn.XMATCH(D39,'Rent Roll - RPM'!$B$3:$B$60,0,1)&gt;0,"Match","No Match"),"No Match")</f>
        <v>No Match</v>
      </c>
      <c r="F39" s="371" t="s">
        <v>455</v>
      </c>
      <c r="G39" s="371">
        <f>_xlfn.XLOOKUP(D39,'Rent Roll - RPM'!$B$3:$B$60,'Rent Roll - RPM'!$D$3:$D$60,0)</f>
        <v>0</v>
      </c>
      <c r="H39" s="371">
        <v>1</v>
      </c>
      <c r="I39" s="371" t="s">
        <v>354</v>
      </c>
      <c r="J39" s="371" t="s">
        <v>323</v>
      </c>
      <c r="K39" s="371" t="s">
        <v>350</v>
      </c>
      <c r="L39" s="377">
        <v>1425</v>
      </c>
      <c r="M39" s="371">
        <v>6</v>
      </c>
      <c r="N39" s="374">
        <v>46006</v>
      </c>
      <c r="O39" s="374" t="s">
        <v>347</v>
      </c>
      <c r="P39" s="375" t="str">
        <f>_xlfn.XLOOKUP(D39,'Rent Roll - RPM'!$B$3:$B$60,'Rent Roll - RPM'!$Q$3:$Q$60,"")</f>
        <v/>
      </c>
      <c r="Q39" s="375" t="str">
        <f>_xlfn.XLOOKUP($D39,'Rent Roll - RPM'!$B$3:$B$60,'Rent Roll - RPM'!$R$3:$R$60,"")</f>
        <v/>
      </c>
      <c r="R39" s="375" t="str">
        <f>_xlfn.XLOOKUP(D39,'Rent Roll - RPM'!$B$3:$B$60,'Rent Roll - RPM'!$S$3:$S$60,"")</f>
        <v/>
      </c>
      <c r="S39" s="376">
        <v>2450</v>
      </c>
      <c r="T39" s="376">
        <f>S39/L39</f>
        <v>1.7192982456140351</v>
      </c>
      <c r="V39" s="376"/>
      <c r="W39" s="376"/>
      <c r="X39" s="376"/>
    </row>
    <row r="40" spans="1:24" hidden="1" x14ac:dyDescent="0.25">
      <c r="A40" s="371">
        <v>1</v>
      </c>
      <c r="B40" s="371">
        <v>11</v>
      </c>
      <c r="C40" s="371">
        <v>101</v>
      </c>
      <c r="D40" s="371" t="str">
        <f>IF(ISNUMBER(SEARCH("Bobby Meadow",F40)),LEFT(F40,FIND(" ",F40)-1)&amp;"M",LEFT(F40,FIND(" ",F40)-1)&amp;MID(F40,FIND(" ",F40)+1,1))</f>
        <v>7327H</v>
      </c>
      <c r="E40" s="371" t="str">
        <f>IFERROR(IF(_xlfn.XMATCH(D40,'Rent Roll - RPM'!$B$3:$B$60,0,1)&gt;0,"Match","No Match"),"No Match")</f>
        <v>No Match</v>
      </c>
      <c r="F40" s="371" t="s">
        <v>387</v>
      </c>
      <c r="G40" s="371">
        <f>_xlfn.XLOOKUP(D40,'Rent Roll - RPM'!$B$3:$B$60,'Rent Roll - RPM'!$D$3:$D$60,0)</f>
        <v>0</v>
      </c>
      <c r="H40" s="371">
        <v>1</v>
      </c>
      <c r="I40" s="371" t="s">
        <v>346</v>
      </c>
      <c r="J40" s="371" t="s">
        <v>69</v>
      </c>
      <c r="K40" s="371" t="s">
        <v>342</v>
      </c>
      <c r="L40" s="373">
        <v>1852</v>
      </c>
      <c r="M40" s="371">
        <v>6</v>
      </c>
      <c r="N40" s="374">
        <v>46006</v>
      </c>
      <c r="O40" s="374" t="s">
        <v>347</v>
      </c>
      <c r="P40" s="375" t="str">
        <f>_xlfn.XLOOKUP(D40,'Rent Roll - RPM'!$B$3:$B$60,'Rent Roll - RPM'!$Q$3:$Q$60,"")</f>
        <v/>
      </c>
      <c r="Q40" s="375" t="str">
        <f>_xlfn.XLOOKUP($D40,'Rent Roll - RPM'!$B$3:$B$60,'Rent Roll - RPM'!$R$3:$R$60,"")</f>
        <v/>
      </c>
      <c r="R40" s="375" t="str">
        <f>_xlfn.XLOOKUP(D40,'Rent Roll - RPM'!$B$3:$B$60,'Rent Roll - RPM'!$S$3:$S$60,"")</f>
        <v/>
      </c>
      <c r="S40" s="376">
        <v>2950</v>
      </c>
      <c r="T40" s="376">
        <f>S40/L40</f>
        <v>1.5928725701943844</v>
      </c>
      <c r="V40" s="376"/>
      <c r="W40" s="376"/>
      <c r="X40" s="376"/>
    </row>
    <row r="41" spans="1:24" hidden="1" x14ac:dyDescent="0.25">
      <c r="A41" s="371">
        <v>2</v>
      </c>
      <c r="B41" s="371">
        <v>24</v>
      </c>
      <c r="C41" s="371">
        <v>114</v>
      </c>
      <c r="D41" s="371" t="str">
        <f>IF(ISNUMBER(SEARCH("Bobby Meadow",F41)),LEFT(F41,FIND(" ",F41)-1)&amp;"M",LEFT(F41,FIND(" ",F41)-1)&amp;MID(F41,FIND(" ",F41)+1,1))</f>
        <v>7330H</v>
      </c>
      <c r="E41" s="371" t="str">
        <f>IFERROR(IF(_xlfn.XMATCH(D41,'Rent Roll - RPM'!$B$3:$B$60,0,1)&gt;0,"Match","No Match"),"No Match")</f>
        <v>No Match</v>
      </c>
      <c r="F41" s="371" t="s">
        <v>454</v>
      </c>
      <c r="G41" s="371">
        <f>_xlfn.XLOOKUP(D41,'Rent Roll - RPM'!$B$3:$B$60,'Rent Roll - RPM'!$D$3:$D$60,0)</f>
        <v>0</v>
      </c>
      <c r="H41" s="371">
        <v>1</v>
      </c>
      <c r="I41" s="371" t="s">
        <v>374</v>
      </c>
      <c r="J41" s="371" t="s">
        <v>323</v>
      </c>
      <c r="K41" s="371" t="s">
        <v>350</v>
      </c>
      <c r="L41" s="377">
        <v>1425</v>
      </c>
      <c r="M41" s="371">
        <v>6</v>
      </c>
      <c r="N41" s="374">
        <v>46006</v>
      </c>
      <c r="O41" s="374" t="s">
        <v>347</v>
      </c>
      <c r="P41" s="371" t="str">
        <f>_xlfn.XLOOKUP(D41,'Rent Roll - RPM'!$B$3:$B$60,'Rent Roll - RPM'!$Q$3:$Q$60,"")</f>
        <v/>
      </c>
      <c r="Q41" s="371" t="str">
        <f>_xlfn.XLOOKUP($D41,'Rent Roll - RPM'!$B$3:$B$60,'Rent Roll - RPM'!$R$3:$R$60,"")</f>
        <v/>
      </c>
      <c r="R41" s="375" t="str">
        <f>_xlfn.XLOOKUP(D41,'Rent Roll - RPM'!$B$3:$B$60,'Rent Roll - RPM'!$S$3:$S$60,"")</f>
        <v/>
      </c>
      <c r="S41" s="376">
        <v>2450</v>
      </c>
      <c r="T41" s="376">
        <f>S41/L41</f>
        <v>1.7192982456140351</v>
      </c>
      <c r="V41" s="376"/>
      <c r="W41" s="376"/>
      <c r="X41" s="376"/>
    </row>
    <row r="42" spans="1:24" hidden="1" x14ac:dyDescent="0.25">
      <c r="A42" s="371">
        <v>1</v>
      </c>
      <c r="B42" s="371">
        <v>12</v>
      </c>
      <c r="C42" s="371">
        <v>100</v>
      </c>
      <c r="D42" s="371" t="str">
        <f>IF(ISNUMBER(SEARCH("Bobby Meadow",F42)),LEFT(F42,FIND(" ",F42)-1)&amp;"M",LEFT(F42,FIND(" ",F42)-1)&amp;MID(F42,FIND(" ",F42)+1,1))</f>
        <v>7331H</v>
      </c>
      <c r="E42" s="371" t="str">
        <f>IFERROR(IF(_xlfn.XMATCH(D42,'Rent Roll - RPM'!$B$3:$B$60,0,1)&gt;0,"Match","No Match"),"No Match")</f>
        <v>No Match</v>
      </c>
      <c r="F42" s="371" t="s">
        <v>447</v>
      </c>
      <c r="G42" s="371">
        <f>_xlfn.XLOOKUP(D42,'Rent Roll - RPM'!$B$3:$B$60,'Rent Roll - RPM'!$D$3:$D$60,0)</f>
        <v>0</v>
      </c>
      <c r="H42" s="371">
        <v>1</v>
      </c>
      <c r="I42" s="371" t="s">
        <v>280</v>
      </c>
      <c r="J42" s="371" t="s">
        <v>71</v>
      </c>
      <c r="K42" s="371" t="s">
        <v>342</v>
      </c>
      <c r="L42" s="378">
        <v>1909</v>
      </c>
      <c r="M42" s="371">
        <v>6</v>
      </c>
      <c r="N42" s="374">
        <v>46006</v>
      </c>
      <c r="O42" s="374" t="s">
        <v>347</v>
      </c>
      <c r="P42" s="371" t="str">
        <f>_xlfn.XLOOKUP(D42,'Rent Roll - RPM'!$B$3:$B$60,'Rent Roll - RPM'!$Q$3:$Q$60,"")</f>
        <v/>
      </c>
      <c r="Q42" s="371" t="str">
        <f>_xlfn.XLOOKUP($D42,'Rent Roll - RPM'!$B$3:$B$60,'Rent Roll - RPM'!$R$3:$R$60,"")</f>
        <v/>
      </c>
      <c r="R42" s="375" t="str">
        <f>_xlfn.XLOOKUP(D42,'Rent Roll - RPM'!$B$3:$B$60,'Rent Roll - RPM'!$S$3:$S$60,"")</f>
        <v/>
      </c>
      <c r="S42" s="376">
        <v>3150</v>
      </c>
      <c r="T42" s="376">
        <f>S42/L42</f>
        <v>1.6500785751702463</v>
      </c>
      <c r="V42" s="376"/>
      <c r="W42" s="376"/>
      <c r="X42" s="376"/>
    </row>
    <row r="43" spans="1:24" s="486" customFormat="1" hidden="1" x14ac:dyDescent="0.25">
      <c r="A43" s="371">
        <v>2</v>
      </c>
      <c r="B43" s="371">
        <v>23</v>
      </c>
      <c r="C43" s="371">
        <v>113</v>
      </c>
      <c r="D43" s="371" t="str">
        <f>IF(ISNUMBER(SEARCH("Bobby Meadow",F43)),LEFT(F43,FIND(" ",F43)-1)&amp;"M",LEFT(F43,FIND(" ",F43)-1)&amp;MID(F43,FIND(" ",F43)+1,1))</f>
        <v>7334H</v>
      </c>
      <c r="E43" s="371" t="str">
        <f>IFERROR(IF(_xlfn.XMATCH(D43,'Rent Roll - RPM'!$B$3:$B$60,0,1)&gt;0,"Match","No Match"),"No Match")</f>
        <v>No Match</v>
      </c>
      <c r="F43" s="371" t="s">
        <v>453</v>
      </c>
      <c r="G43" s="371">
        <f>_xlfn.XLOOKUP(D43,'Rent Roll - RPM'!$B$3:$B$60,'Rent Roll - RPM'!$D$3:$D$60,0)</f>
        <v>0</v>
      </c>
      <c r="H43" s="371">
        <v>1</v>
      </c>
      <c r="I43" s="371" t="s">
        <v>344</v>
      </c>
      <c r="J43" s="371" t="s">
        <v>22</v>
      </c>
      <c r="K43" s="371" t="s">
        <v>342</v>
      </c>
      <c r="L43" s="373">
        <v>1685</v>
      </c>
      <c r="M43" s="371">
        <v>6</v>
      </c>
      <c r="N43" s="374">
        <v>46006</v>
      </c>
      <c r="O43" s="374" t="s">
        <v>347</v>
      </c>
      <c r="P43" s="375" t="str">
        <f>_xlfn.XLOOKUP(D43,'Rent Roll - RPM'!$B$3:$B$60,'Rent Roll - RPM'!$Q$3:$Q$60,"")</f>
        <v/>
      </c>
      <c r="Q43" s="375" t="str">
        <f>_xlfn.XLOOKUP($D43,'Rent Roll - RPM'!$B$3:$B$60,'Rent Roll - RPM'!$R$3:$R$60,"")</f>
        <v/>
      </c>
      <c r="R43" s="375" t="str">
        <f>_xlfn.XLOOKUP(D43,'Rent Roll - RPM'!$B$3:$B$60,'Rent Roll - RPM'!$S$3:$S$60,"")</f>
        <v/>
      </c>
      <c r="S43" s="376">
        <v>2750</v>
      </c>
      <c r="T43" s="376">
        <f>S43/L43</f>
        <v>1.6320474777448071</v>
      </c>
      <c r="U43" s="372"/>
      <c r="V43" s="376"/>
      <c r="W43" s="487"/>
      <c r="X43" s="487"/>
    </row>
    <row r="44" spans="1:24" hidden="1" x14ac:dyDescent="0.25">
      <c r="A44" s="371">
        <v>3</v>
      </c>
      <c r="B44" s="371">
        <v>23</v>
      </c>
      <c r="C44" s="371">
        <v>67</v>
      </c>
      <c r="D44" s="371" t="str">
        <f>IF(ISNUMBER(SEARCH("Bobby Meadow",F44)),LEFT(F44,FIND(" ",F44)-1)&amp;"M",LEFT(F44,FIND(" ",F44)-1)&amp;MID(F44,FIND(" ",F44)+1,1))</f>
        <v>7334L</v>
      </c>
      <c r="E44" s="371" t="str">
        <f>IFERROR(IF(_xlfn.XMATCH(D44,'Rent Roll - RPM'!$B$3:$B$60,0,1)&gt;0,"Match","No Match"),"No Match")</f>
        <v>No Match</v>
      </c>
      <c r="F44" s="371" t="s">
        <v>419</v>
      </c>
      <c r="G44" s="371">
        <f>_xlfn.XLOOKUP(D44,'Rent Roll - RPM'!$B$3:$B$60,'Rent Roll - RPM'!$D$3:$D$60,0)</f>
        <v>0</v>
      </c>
      <c r="H44" s="371">
        <v>1</v>
      </c>
      <c r="I44" s="371" t="s">
        <v>354</v>
      </c>
      <c r="J44" s="371" t="s">
        <v>323</v>
      </c>
      <c r="K44" s="371" t="s">
        <v>350</v>
      </c>
      <c r="L44" s="377">
        <v>1425</v>
      </c>
      <c r="M44" s="371">
        <v>4</v>
      </c>
      <c r="N44" s="374">
        <v>45961</v>
      </c>
      <c r="O44" s="374" t="s">
        <v>347</v>
      </c>
      <c r="P44" s="375" t="str">
        <f>_xlfn.XLOOKUP(D44,'Rent Roll - RPM'!$B$3:$B$60,'Rent Roll - RPM'!$Q$3:$Q$60,"")</f>
        <v/>
      </c>
      <c r="Q44" s="375" t="str">
        <f>_xlfn.XLOOKUP($D44,'Rent Roll - RPM'!$B$3:$B$60,'Rent Roll - RPM'!$R$3:$R$60,"")</f>
        <v/>
      </c>
      <c r="R44" s="375" t="str">
        <f>_xlfn.XLOOKUP(D44,'Rent Roll - RPM'!$B$3:$B$60,'Rent Roll - RPM'!$S$3:$S$60,"")</f>
        <v/>
      </c>
      <c r="S44" s="376">
        <v>2450</v>
      </c>
      <c r="T44" s="376">
        <f>S44/L44</f>
        <v>1.7192982456140351</v>
      </c>
      <c r="V44" s="376"/>
      <c r="W44" s="376"/>
      <c r="X44" s="376"/>
    </row>
    <row r="45" spans="1:24" hidden="1" x14ac:dyDescent="0.25">
      <c r="A45" s="371">
        <v>1</v>
      </c>
      <c r="B45" s="371">
        <v>13</v>
      </c>
      <c r="C45" s="371">
        <v>99</v>
      </c>
      <c r="D45" s="371" t="str">
        <f>IF(ISNUMBER(SEARCH("Bobby Meadow",F45)),LEFT(F45,FIND(" ",F45)-1)&amp;"M",LEFT(F45,FIND(" ",F45)-1)&amp;MID(F45,FIND(" ",F45)+1,1))</f>
        <v>7335H</v>
      </c>
      <c r="E45" s="371" t="str">
        <f>IFERROR(IF(_xlfn.XMATCH(D45,'Rent Roll - RPM'!$B$3:$B$60,0,1)&gt;0,"Match","No Match"),"No Match")</f>
        <v>No Match</v>
      </c>
      <c r="F45" s="371" t="s">
        <v>446</v>
      </c>
      <c r="G45" s="371">
        <f>_xlfn.XLOOKUP(D45,'Rent Roll - RPM'!$B$3:$B$60,'Rent Roll - RPM'!$D$3:$D$60,0)</f>
        <v>0</v>
      </c>
      <c r="H45" s="371">
        <v>1</v>
      </c>
      <c r="I45" s="371" t="s">
        <v>398</v>
      </c>
      <c r="J45" s="371" t="s">
        <v>71</v>
      </c>
      <c r="K45" s="371" t="s">
        <v>342</v>
      </c>
      <c r="L45" s="378">
        <v>1909</v>
      </c>
      <c r="M45" s="371">
        <v>6</v>
      </c>
      <c r="N45" s="374">
        <v>46006</v>
      </c>
      <c r="O45" s="374" t="s">
        <v>347</v>
      </c>
      <c r="P45" s="371" t="str">
        <f>_xlfn.XLOOKUP(D45,'Rent Roll - RPM'!$B$3:$B$60,'Rent Roll - RPM'!$Q$3:$Q$60,"")</f>
        <v/>
      </c>
      <c r="Q45" s="371" t="str">
        <f>_xlfn.XLOOKUP($D45,'Rent Roll - RPM'!$B$3:$B$60,'Rent Roll - RPM'!$R$3:$R$60,"")</f>
        <v/>
      </c>
      <c r="R45" s="375" t="str">
        <f>_xlfn.XLOOKUP(D45,'Rent Roll - RPM'!$B$3:$B$60,'Rent Roll - RPM'!$S$3:$S$60,"")</f>
        <v/>
      </c>
      <c r="S45" s="376">
        <v>3150</v>
      </c>
      <c r="T45" s="376">
        <f>S45/L45</f>
        <v>1.6500785751702463</v>
      </c>
      <c r="V45" s="376"/>
      <c r="W45" s="376"/>
      <c r="X45" s="376"/>
    </row>
    <row r="46" spans="1:24" hidden="1" x14ac:dyDescent="0.25">
      <c r="A46" s="371">
        <v>1</v>
      </c>
      <c r="B46" s="371">
        <v>14</v>
      </c>
      <c r="C46" s="371">
        <v>98</v>
      </c>
      <c r="D46" s="371" t="str">
        <f>IF(ISNUMBER(SEARCH("Bobby Meadow",F46)),LEFT(F46,FIND(" ",F46)-1)&amp;"M",LEFT(F46,FIND(" ",F46)-1)&amp;MID(F46,FIND(" ",F46)+1,1))</f>
        <v>7339H</v>
      </c>
      <c r="E46" s="371" t="str">
        <f>IFERROR(IF(_xlfn.XMATCH(D46,'Rent Roll - RPM'!$B$3:$B$60,0,1)&gt;0,"Match","No Match"),"No Match")</f>
        <v>No Match</v>
      </c>
      <c r="F46" s="371" t="s">
        <v>445</v>
      </c>
      <c r="G46" s="371">
        <f>_xlfn.XLOOKUP(D46,'Rent Roll - RPM'!$B$3:$B$60,'Rent Roll - RPM'!$D$3:$D$60,0)</f>
        <v>0</v>
      </c>
      <c r="H46" s="371">
        <v>1</v>
      </c>
      <c r="I46" s="371" t="s">
        <v>377</v>
      </c>
      <c r="J46" s="371" t="s">
        <v>71</v>
      </c>
      <c r="K46" s="371" t="s">
        <v>342</v>
      </c>
      <c r="L46" s="378">
        <v>1909</v>
      </c>
      <c r="M46" s="371">
        <v>6</v>
      </c>
      <c r="N46" s="374">
        <v>46006</v>
      </c>
      <c r="O46" s="374" t="s">
        <v>347</v>
      </c>
      <c r="P46" s="371" t="str">
        <f>_xlfn.XLOOKUP(D46,'Rent Roll - RPM'!$B$3:$B$60,'Rent Roll - RPM'!$Q$3:$Q$60,"")</f>
        <v/>
      </c>
      <c r="Q46" s="371" t="str">
        <f>_xlfn.XLOOKUP($D46,'Rent Roll - RPM'!$B$3:$B$60,'Rent Roll - RPM'!$R$3:$R$60,"")</f>
        <v/>
      </c>
      <c r="R46" s="375" t="str">
        <f>_xlfn.XLOOKUP(D46,'Rent Roll - RPM'!$B$3:$B$60,'Rent Roll - RPM'!$S$3:$S$60,"")</f>
        <v/>
      </c>
      <c r="S46" s="376">
        <v>3150</v>
      </c>
      <c r="T46" s="376">
        <f>S46/L46</f>
        <v>1.6500785751702463</v>
      </c>
      <c r="V46" s="376"/>
      <c r="W46" s="376"/>
      <c r="X46" s="376"/>
    </row>
    <row r="47" spans="1:24" s="486" customFormat="1" hidden="1" x14ac:dyDescent="0.25">
      <c r="A47" s="371">
        <v>2</v>
      </c>
      <c r="B47" s="371">
        <v>21</v>
      </c>
      <c r="C47" s="371">
        <v>97</v>
      </c>
      <c r="D47" s="371" t="str">
        <f>IF(ISNUMBER(SEARCH("Bobby Meadow",F47)),LEFT(F47,FIND(" ",F47)-1)&amp;"M",LEFT(F47,FIND(" ",F47)-1)&amp;MID(F47,FIND(" ",F47)+1,1))</f>
        <v>7402H</v>
      </c>
      <c r="E47" s="371" t="str">
        <f>IFERROR(IF(_xlfn.XMATCH(D47,'Rent Roll - RPM'!$B$3:$B$60,0,1)&gt;0,"Match","No Match"),"No Match")</f>
        <v>No Match</v>
      </c>
      <c r="F47" s="371" t="s">
        <v>443</v>
      </c>
      <c r="G47" s="371">
        <f>_xlfn.XLOOKUP(D47,'Rent Roll - RPM'!$B$3:$B$60,'Rent Roll - RPM'!$D$3:$D$60,0)</f>
        <v>0</v>
      </c>
      <c r="H47" s="371">
        <v>1</v>
      </c>
      <c r="I47" s="371" t="s">
        <v>374</v>
      </c>
      <c r="J47" s="371" t="s">
        <v>323</v>
      </c>
      <c r="K47" s="371" t="s">
        <v>350</v>
      </c>
      <c r="L47" s="377">
        <v>1425</v>
      </c>
      <c r="M47" s="371">
        <v>5</v>
      </c>
      <c r="N47" s="374">
        <v>45991</v>
      </c>
      <c r="O47" s="374" t="s">
        <v>347</v>
      </c>
      <c r="P47" s="371" t="str">
        <f>_xlfn.XLOOKUP(D47,'Rent Roll - RPM'!$B$3:$B$60,'Rent Roll - RPM'!$Q$3:$Q$60,"")</f>
        <v/>
      </c>
      <c r="Q47" s="371" t="str">
        <f>_xlfn.XLOOKUP($D47,'Rent Roll - RPM'!$B$3:$B$60,'Rent Roll - RPM'!$R$3:$R$60,"")</f>
        <v/>
      </c>
      <c r="R47" s="375" t="str">
        <f>_xlfn.XLOOKUP(D47,'Rent Roll - RPM'!$B$3:$B$60,'Rent Roll - RPM'!$S$3:$S$60,"")</f>
        <v/>
      </c>
      <c r="S47" s="376">
        <v>2450</v>
      </c>
      <c r="T47" s="376">
        <f>S47/L47</f>
        <v>1.7192982456140351</v>
      </c>
      <c r="U47" s="372"/>
      <c r="V47" s="376"/>
      <c r="W47" s="487"/>
      <c r="X47" s="487"/>
    </row>
    <row r="48" spans="1:24" hidden="1" x14ac:dyDescent="0.25">
      <c r="A48" s="371">
        <v>2</v>
      </c>
      <c r="B48" s="371">
        <v>7</v>
      </c>
      <c r="C48" s="371">
        <v>74</v>
      </c>
      <c r="D48" s="371" t="str">
        <f>IF(ISNUMBER(SEARCH("Bobby Meadow",F48)),LEFT(F48,FIND(" ",F48)-1)&amp;"M",LEFT(F48,FIND(" ",F48)-1)&amp;MID(F48,FIND(" ",F48)+1,1))</f>
        <v>7403L</v>
      </c>
      <c r="E48" s="371" t="str">
        <f>IFERROR(IF(_xlfn.XMATCH(D48,'Rent Roll - RPM'!$B$3:$B$60,0,1)&gt;0,"Match","No Match"),"No Match")</f>
        <v>No Match</v>
      </c>
      <c r="F48" s="371" t="s">
        <v>425</v>
      </c>
      <c r="G48" s="371">
        <f>_xlfn.XLOOKUP(D48,'Rent Roll - RPM'!$B$3:$B$60,'Rent Roll - RPM'!$D$3:$D$60,0)</f>
        <v>0</v>
      </c>
      <c r="H48" s="371">
        <v>1</v>
      </c>
      <c r="I48" s="371" t="s">
        <v>369</v>
      </c>
      <c r="J48" s="371" t="s">
        <v>323</v>
      </c>
      <c r="K48" s="371" t="s">
        <v>350</v>
      </c>
      <c r="L48" s="377">
        <v>1425</v>
      </c>
      <c r="M48" s="371">
        <v>4</v>
      </c>
      <c r="N48" s="374">
        <v>45961</v>
      </c>
      <c r="O48" s="374" t="s">
        <v>347</v>
      </c>
      <c r="P48" s="371" t="str">
        <f>_xlfn.XLOOKUP(D48,'Rent Roll - RPM'!$B$3:$B$60,'Rent Roll - RPM'!$Q$3:$Q$60,"")</f>
        <v/>
      </c>
      <c r="Q48" s="371" t="str">
        <f>_xlfn.XLOOKUP($D48,'Rent Roll - RPM'!$B$3:$B$60,'Rent Roll - RPM'!$R$3:$R$60,"")</f>
        <v/>
      </c>
      <c r="R48" s="375" t="str">
        <f>_xlfn.XLOOKUP(D48,'Rent Roll - RPM'!$B$3:$B$60,'Rent Roll - RPM'!$S$3:$S$60,"")</f>
        <v/>
      </c>
      <c r="S48" s="376">
        <v>2450</v>
      </c>
      <c r="T48" s="376">
        <f>S48/L48</f>
        <v>1.7192982456140351</v>
      </c>
      <c r="V48" s="376"/>
      <c r="W48" s="376"/>
      <c r="X48" s="376"/>
    </row>
    <row r="49" spans="1:24" hidden="1" x14ac:dyDescent="0.25">
      <c r="A49" s="371">
        <v>2</v>
      </c>
      <c r="B49" s="371">
        <v>20</v>
      </c>
      <c r="C49" s="371">
        <v>96</v>
      </c>
      <c r="D49" s="371" t="str">
        <f>IF(ISNUMBER(SEARCH("Bobby Meadow",F49)),LEFT(F49,FIND(" ",F49)-1)&amp;"M",LEFT(F49,FIND(" ",F49)-1)&amp;MID(F49,FIND(" ",F49)+1,1))</f>
        <v>7406H</v>
      </c>
      <c r="E49" s="371" t="str">
        <f>IFERROR(IF(_xlfn.XMATCH(D49,'Rent Roll - RPM'!$B$3:$B$60,0,1)&gt;0,"Match","No Match"),"No Match")</f>
        <v>No Match</v>
      </c>
      <c r="F49" s="371" t="s">
        <v>442</v>
      </c>
      <c r="G49" s="371">
        <f>_xlfn.XLOOKUP(D49,'Rent Roll - RPM'!$B$3:$B$60,'Rent Roll - RPM'!$D$3:$D$60,0)</f>
        <v>0</v>
      </c>
      <c r="H49" s="371">
        <v>1</v>
      </c>
      <c r="I49" s="371" t="s">
        <v>354</v>
      </c>
      <c r="J49" s="371" t="s">
        <v>323</v>
      </c>
      <c r="K49" s="371" t="s">
        <v>350</v>
      </c>
      <c r="L49" s="377">
        <v>1425</v>
      </c>
      <c r="M49" s="371">
        <v>5</v>
      </c>
      <c r="N49" s="374">
        <v>45991</v>
      </c>
      <c r="O49" s="374" t="s">
        <v>347</v>
      </c>
      <c r="P49" s="371" t="str">
        <f>_xlfn.XLOOKUP(D49,'Rent Roll - RPM'!$B$3:$B$60,'Rent Roll - RPM'!$Q$3:$Q$60,"")</f>
        <v/>
      </c>
      <c r="Q49" s="371" t="str">
        <f>_xlfn.XLOOKUP($D49,'Rent Roll - RPM'!$B$3:$B$60,'Rent Roll - RPM'!$R$3:$R$60,"")</f>
        <v/>
      </c>
      <c r="R49" s="375" t="str">
        <f>_xlfn.XLOOKUP(D49,'Rent Roll - RPM'!$B$3:$B$60,'Rent Roll - RPM'!$S$3:$S$60,"")</f>
        <v/>
      </c>
      <c r="S49" s="376">
        <v>2450</v>
      </c>
      <c r="T49" s="376">
        <f>S49/L49</f>
        <v>1.7192982456140351</v>
      </c>
      <c r="V49" s="376"/>
      <c r="W49" s="376"/>
      <c r="X49" s="376"/>
    </row>
    <row r="50" spans="1:24" hidden="1" x14ac:dyDescent="0.25">
      <c r="A50" s="371">
        <v>1</v>
      </c>
      <c r="B50" s="371">
        <v>16</v>
      </c>
      <c r="C50" s="371">
        <v>88</v>
      </c>
      <c r="D50" s="371" t="str">
        <f>IF(ISNUMBER(SEARCH("Bobby Meadow",F50)),LEFT(F50,FIND(" ",F50)-1)&amp;"M",LEFT(F50,FIND(" ",F50)-1)&amp;MID(F50,FIND(" ",F50)+1,1))</f>
        <v>7407H</v>
      </c>
      <c r="E50" s="371" t="str">
        <f>IFERROR(IF(_xlfn.XMATCH(D50,'Rent Roll - RPM'!$B$3:$B$60,0,1)&gt;0,"Match","No Match"),"No Match")</f>
        <v>No Match</v>
      </c>
      <c r="F50" s="371" t="s">
        <v>435</v>
      </c>
      <c r="G50" s="371">
        <f>_xlfn.XLOOKUP(D50,'Rent Roll - RPM'!$B$3:$B$60,'Rent Roll - RPM'!$D$3:$D$60,0)</f>
        <v>0</v>
      </c>
      <c r="H50" s="371">
        <v>1</v>
      </c>
      <c r="I50" s="371" t="s">
        <v>280</v>
      </c>
      <c r="J50" s="371" t="s">
        <v>71</v>
      </c>
      <c r="K50" s="371" t="s">
        <v>342</v>
      </c>
      <c r="L50" s="378">
        <v>1909</v>
      </c>
      <c r="M50" s="371">
        <v>5</v>
      </c>
      <c r="N50" s="374">
        <v>45991</v>
      </c>
      <c r="O50" s="374" t="s">
        <v>347</v>
      </c>
      <c r="P50" s="371" t="str">
        <f>_xlfn.XLOOKUP(D50,'Rent Roll - RPM'!$B$3:$B$60,'Rent Roll - RPM'!$Q$3:$Q$60,"")</f>
        <v/>
      </c>
      <c r="Q50" s="371" t="str">
        <f>_xlfn.XLOOKUP($D50,'Rent Roll - RPM'!$B$3:$B$60,'Rent Roll - RPM'!$R$3:$R$60,"")</f>
        <v/>
      </c>
      <c r="R50" s="375" t="str">
        <f>_xlfn.XLOOKUP(D50,'Rent Roll - RPM'!$B$3:$B$60,'Rent Roll - RPM'!$S$3:$S$60,"")</f>
        <v/>
      </c>
      <c r="S50" s="376">
        <v>3150</v>
      </c>
      <c r="T50" s="376">
        <f>S50/L50</f>
        <v>1.6500785751702463</v>
      </c>
      <c r="V50" s="376"/>
      <c r="W50" s="376"/>
      <c r="X50" s="376"/>
    </row>
    <row r="51" spans="1:24" hidden="1" x14ac:dyDescent="0.25">
      <c r="A51" s="371">
        <v>2</v>
      </c>
      <c r="B51" s="371">
        <v>8</v>
      </c>
      <c r="C51" s="371">
        <v>75</v>
      </c>
      <c r="D51" s="371" t="str">
        <f>IF(ISNUMBER(SEARCH("Bobby Meadow",F51)),LEFT(F51,FIND(" ",F51)-1)&amp;"M",LEFT(F51,FIND(" ",F51)-1)&amp;MID(F51,FIND(" ",F51)+1,1))</f>
        <v>7407L</v>
      </c>
      <c r="E51" s="371" t="str">
        <f>IFERROR(IF(_xlfn.XMATCH(D51,'Rent Roll - RPM'!$B$3:$B$60,0,1)&gt;0,"Match","No Match"),"No Match")</f>
        <v>No Match</v>
      </c>
      <c r="F51" s="371" t="s">
        <v>426</v>
      </c>
      <c r="G51" s="371">
        <f>_xlfn.XLOOKUP(D51,'Rent Roll - RPM'!$B$3:$B$60,'Rent Roll - RPM'!$D$3:$D$60,0)</f>
        <v>0</v>
      </c>
      <c r="H51" s="371">
        <v>1</v>
      </c>
      <c r="I51" s="371" t="s">
        <v>349</v>
      </c>
      <c r="J51" s="371" t="s">
        <v>65</v>
      </c>
      <c r="K51" s="371" t="s">
        <v>350</v>
      </c>
      <c r="L51" s="373">
        <v>1635</v>
      </c>
      <c r="M51" s="371">
        <v>4</v>
      </c>
      <c r="N51" s="374">
        <v>45961</v>
      </c>
      <c r="O51" s="374" t="s">
        <v>347</v>
      </c>
      <c r="P51" s="371" t="str">
        <f>_xlfn.XLOOKUP(D51,'Rent Roll - RPM'!$B$3:$B$60,'Rent Roll - RPM'!$Q$3:$Q$60,"")</f>
        <v/>
      </c>
      <c r="Q51" s="371" t="str">
        <f>_xlfn.XLOOKUP($D51,'Rent Roll - RPM'!$B$3:$B$60,'Rent Roll - RPM'!$R$3:$R$60,"")</f>
        <v/>
      </c>
      <c r="R51" s="375" t="str">
        <f>_xlfn.XLOOKUP(D51,'Rent Roll - RPM'!$B$3:$B$60,'Rent Roll - RPM'!$S$3:$S$60,"")</f>
        <v/>
      </c>
      <c r="S51" s="376">
        <v>2650</v>
      </c>
      <c r="T51" s="376">
        <f>S51/L51</f>
        <v>1.620795107033639</v>
      </c>
      <c r="V51" s="376"/>
      <c r="W51" s="376"/>
      <c r="X51" s="376"/>
    </row>
    <row r="52" spans="1:24" hidden="1" x14ac:dyDescent="0.25">
      <c r="A52" s="371">
        <v>2</v>
      </c>
      <c r="B52" s="371">
        <v>19</v>
      </c>
      <c r="C52" s="371">
        <v>95</v>
      </c>
      <c r="D52" s="371" t="str">
        <f>IF(ISNUMBER(SEARCH("Bobby Meadow",F52)),LEFT(F52,FIND(" ",F52)-1)&amp;"M",LEFT(F52,FIND(" ",F52)-1)&amp;MID(F52,FIND(" ",F52)+1,1))</f>
        <v>7410H</v>
      </c>
      <c r="E52" s="371" t="str">
        <f>IFERROR(IF(_xlfn.XMATCH(D52,'Rent Roll - RPM'!$B$3:$B$60,0,1)&gt;0,"Match","No Match"),"No Match")</f>
        <v>No Match</v>
      </c>
      <c r="F52" s="371" t="s">
        <v>441</v>
      </c>
      <c r="G52" s="371">
        <f>_xlfn.XLOOKUP(D52,'Rent Roll - RPM'!$B$3:$B$60,'Rent Roll - RPM'!$D$3:$D$60,0)</f>
        <v>0</v>
      </c>
      <c r="H52" s="371">
        <v>1</v>
      </c>
      <c r="I52" s="371" t="s">
        <v>369</v>
      </c>
      <c r="J52" s="371" t="s">
        <v>323</v>
      </c>
      <c r="K52" s="371" t="s">
        <v>350</v>
      </c>
      <c r="L52" s="377">
        <v>1425</v>
      </c>
      <c r="M52" s="371">
        <v>5</v>
      </c>
      <c r="N52" s="374">
        <v>45991</v>
      </c>
      <c r="O52" s="374" t="s">
        <v>347</v>
      </c>
      <c r="P52" s="371" t="str">
        <f>_xlfn.XLOOKUP(D52,'Rent Roll - RPM'!$B$3:$B$60,'Rent Roll - RPM'!$Q$3:$Q$60,"")</f>
        <v/>
      </c>
      <c r="Q52" s="371" t="str">
        <f>_xlfn.XLOOKUP($D52,'Rent Roll - RPM'!$B$3:$B$60,'Rent Roll - RPM'!$R$3:$R$60,"")</f>
        <v/>
      </c>
      <c r="R52" s="375" t="str">
        <f>_xlfn.XLOOKUP(D52,'Rent Roll - RPM'!$B$3:$B$60,'Rent Roll - RPM'!$S$3:$S$60,"")</f>
        <v/>
      </c>
      <c r="S52" s="376">
        <v>2450</v>
      </c>
      <c r="T52" s="376">
        <f>S52/L52</f>
        <v>1.7192982456140351</v>
      </c>
      <c r="V52" s="376"/>
      <c r="W52" s="376"/>
      <c r="X52" s="376"/>
    </row>
    <row r="53" spans="1:24" hidden="1" x14ac:dyDescent="0.25">
      <c r="A53" s="371">
        <v>2</v>
      </c>
      <c r="B53" s="371">
        <v>9</v>
      </c>
      <c r="C53" s="371">
        <v>76</v>
      </c>
      <c r="D53" s="371" t="str">
        <f>IF(ISNUMBER(SEARCH("Bobby Meadow",F53)),LEFT(F53,FIND(" ",F53)-1)&amp;"M",LEFT(F53,FIND(" ",F53)-1)&amp;MID(F53,FIND(" ",F53)+1,1))</f>
        <v>7411L</v>
      </c>
      <c r="E53" s="371" t="str">
        <f>IFERROR(IF(_xlfn.XMATCH(D53,'Rent Roll - RPM'!$B$3:$B$60,0,1)&gt;0,"Match","No Match"),"No Match")</f>
        <v>No Match</v>
      </c>
      <c r="F53" s="371" t="s">
        <v>427</v>
      </c>
      <c r="G53" s="371">
        <f>_xlfn.XLOOKUP(D53,'Rent Roll - RPM'!$B$3:$B$60,'Rent Roll - RPM'!$D$3:$D$60,0)</f>
        <v>0</v>
      </c>
      <c r="H53" s="371">
        <v>1</v>
      </c>
      <c r="I53" s="371" t="s">
        <v>360</v>
      </c>
      <c r="J53" s="371" t="s">
        <v>69</v>
      </c>
      <c r="K53" s="371" t="s">
        <v>342</v>
      </c>
      <c r="L53" s="373">
        <v>1852</v>
      </c>
      <c r="M53" s="371">
        <v>4</v>
      </c>
      <c r="N53" s="374">
        <v>45961</v>
      </c>
      <c r="O53" s="374" t="s">
        <v>347</v>
      </c>
      <c r="P53" s="371" t="str">
        <f>_xlfn.XLOOKUP(D53,'Rent Roll - RPM'!$B$3:$B$60,'Rent Roll - RPM'!$Q$3:$Q$60,"")</f>
        <v/>
      </c>
      <c r="Q53" s="371" t="str">
        <f>_xlfn.XLOOKUP($D53,'Rent Roll - RPM'!$B$3:$B$60,'Rent Roll - RPM'!$R$3:$R$60,"")</f>
        <v/>
      </c>
      <c r="R53" s="375" t="str">
        <f>_xlfn.XLOOKUP(D53,'Rent Roll - RPM'!$B$3:$B$60,'Rent Roll - RPM'!$S$3:$S$60,"")</f>
        <v/>
      </c>
      <c r="S53" s="376">
        <v>2950</v>
      </c>
      <c r="T53" s="376">
        <f>S53/L53</f>
        <v>1.5928725701943844</v>
      </c>
      <c r="V53" s="376"/>
      <c r="W53" s="376"/>
      <c r="X53" s="376"/>
    </row>
    <row r="54" spans="1:24" hidden="1" x14ac:dyDescent="0.25">
      <c r="A54" s="371">
        <v>2</v>
      </c>
      <c r="B54" s="371">
        <v>18</v>
      </c>
      <c r="C54" s="371">
        <v>94</v>
      </c>
      <c r="D54" s="371" t="str">
        <f>IF(ISNUMBER(SEARCH("Bobby Meadow",F54)),LEFT(F54,FIND(" ",F54)-1)&amp;"M",LEFT(F54,FIND(" ",F54)-1)&amp;MID(F54,FIND(" ",F54)+1,1))</f>
        <v>7414H</v>
      </c>
      <c r="E54" s="371" t="str">
        <f>IFERROR(IF(_xlfn.XMATCH(D54,'Rent Roll - RPM'!$B$3:$B$60,0,1)&gt;0,"Match","No Match"),"No Match")</f>
        <v>No Match</v>
      </c>
      <c r="F54" s="371" t="s">
        <v>440</v>
      </c>
      <c r="G54" s="371">
        <f>_xlfn.XLOOKUP(D54,'Rent Roll - RPM'!$B$3:$B$60,'Rent Roll - RPM'!$D$3:$D$60,0)</f>
        <v>0</v>
      </c>
      <c r="H54" s="371">
        <v>1</v>
      </c>
      <c r="I54" s="371" t="s">
        <v>374</v>
      </c>
      <c r="J54" s="371" t="s">
        <v>323</v>
      </c>
      <c r="K54" s="371" t="s">
        <v>350</v>
      </c>
      <c r="L54" s="377">
        <v>1425</v>
      </c>
      <c r="M54" s="371">
        <v>5</v>
      </c>
      <c r="N54" s="374">
        <v>45991</v>
      </c>
      <c r="O54" s="374" t="s">
        <v>347</v>
      </c>
      <c r="P54" s="371" t="str">
        <f>_xlfn.XLOOKUP(D54,'Rent Roll - RPM'!$B$3:$B$60,'Rent Roll - RPM'!$Q$3:$Q$60,"")</f>
        <v/>
      </c>
      <c r="Q54" s="371" t="str">
        <f>_xlfn.XLOOKUP($D54,'Rent Roll - RPM'!$B$3:$B$60,'Rent Roll - RPM'!$R$3:$R$60,"")</f>
        <v/>
      </c>
      <c r="R54" s="375" t="str">
        <f>_xlfn.XLOOKUP(D54,'Rent Roll - RPM'!$B$3:$B$60,'Rent Roll - RPM'!$S$3:$S$60,"")</f>
        <v/>
      </c>
      <c r="S54" s="376">
        <v>2450</v>
      </c>
      <c r="T54" s="376">
        <f>S54/L54</f>
        <v>1.7192982456140351</v>
      </c>
      <c r="V54" s="376"/>
      <c r="W54" s="376"/>
      <c r="X54" s="376"/>
    </row>
    <row r="55" spans="1:24" hidden="1" x14ac:dyDescent="0.25">
      <c r="A55" s="371">
        <v>2</v>
      </c>
      <c r="B55" s="371" t="s">
        <v>428</v>
      </c>
      <c r="C55" s="371">
        <v>77</v>
      </c>
      <c r="D55" s="371" t="str">
        <f>IF(ISNUMBER(SEARCH("Bobby Meadow",F55)),LEFT(F55,FIND(" ",F55)-1)&amp;"M",LEFT(F55,FIND(" ",F55)-1)&amp;MID(F55,FIND(" ",F55)+1,1))</f>
        <v>7415L</v>
      </c>
      <c r="E55" s="371" t="str">
        <f>IFERROR(IF(_xlfn.XMATCH(D55,'Rent Roll - RPM'!$B$3:$B$60,0,1)&gt;0,"Match","No Match"),"No Match")</f>
        <v>No Match</v>
      </c>
      <c r="F55" s="371" t="s">
        <v>429</v>
      </c>
      <c r="G55" s="371">
        <f>_xlfn.XLOOKUP(D55,'Rent Roll - RPM'!$B$3:$B$60,'Rent Roll - RPM'!$D$3:$D$60,0)</f>
        <v>0</v>
      </c>
      <c r="H55" s="371">
        <v>1</v>
      </c>
      <c r="I55" s="371" t="s">
        <v>280</v>
      </c>
      <c r="J55" s="371" t="s">
        <v>71</v>
      </c>
      <c r="K55" s="371" t="s">
        <v>342</v>
      </c>
      <c r="L55" s="378">
        <v>1909</v>
      </c>
      <c r="M55" s="371">
        <v>4</v>
      </c>
      <c r="N55" s="374">
        <v>45961</v>
      </c>
      <c r="O55" s="374" t="s">
        <v>347</v>
      </c>
      <c r="P55" s="371" t="str">
        <f>_xlfn.XLOOKUP(D55,'Rent Roll - RPM'!$B$3:$B$60,'Rent Roll - RPM'!$Q$3:$Q$60,"")</f>
        <v/>
      </c>
      <c r="Q55" s="371" t="str">
        <f>_xlfn.XLOOKUP($D55,'Rent Roll - RPM'!$B$3:$B$60,'Rent Roll - RPM'!$R$3:$R$60,"")</f>
        <v/>
      </c>
      <c r="R55" s="375" t="str">
        <f>_xlfn.XLOOKUP(D55,'Rent Roll - RPM'!$B$3:$B$60,'Rent Roll - RPM'!$S$3:$S$60,"")</f>
        <v/>
      </c>
      <c r="S55" s="376">
        <v>3150</v>
      </c>
      <c r="T55" s="376">
        <f>S55/L55</f>
        <v>1.6500785751702463</v>
      </c>
      <c r="V55" s="376"/>
      <c r="W55" s="376"/>
      <c r="X55" s="376"/>
    </row>
    <row r="56" spans="1:24" hidden="1" x14ac:dyDescent="0.25">
      <c r="A56" s="371">
        <v>2</v>
      </c>
      <c r="B56" s="371">
        <v>17</v>
      </c>
      <c r="C56" s="371">
        <v>93</v>
      </c>
      <c r="D56" s="371" t="str">
        <f>IF(ISNUMBER(SEARCH("Bobby Meadow",F56)),LEFT(F56,FIND(" ",F56)-1)&amp;"M",LEFT(F56,FIND(" ",F56)-1)&amp;MID(F56,FIND(" ",F56)+1,1))</f>
        <v>7418H</v>
      </c>
      <c r="E56" s="371" t="str">
        <f>IFERROR(IF(_xlfn.XMATCH(D56,'Rent Roll - RPM'!$B$3:$B$60,0,1)&gt;0,"Match","No Match"),"No Match")</f>
        <v>No Match</v>
      </c>
      <c r="F56" s="371" t="s">
        <v>439</v>
      </c>
      <c r="G56" s="371">
        <f>_xlfn.XLOOKUP(D56,'Rent Roll - RPM'!$B$3:$B$60,'Rent Roll - RPM'!$D$3:$D$60,0)</f>
        <v>0</v>
      </c>
      <c r="H56" s="371">
        <v>1</v>
      </c>
      <c r="I56" s="371" t="s">
        <v>356</v>
      </c>
      <c r="J56" s="371" t="s">
        <v>65</v>
      </c>
      <c r="K56" s="371" t="s">
        <v>350</v>
      </c>
      <c r="L56" s="373">
        <v>1635</v>
      </c>
      <c r="M56" s="371">
        <v>5</v>
      </c>
      <c r="N56" s="374">
        <v>45991</v>
      </c>
      <c r="O56" s="374" t="s">
        <v>347</v>
      </c>
      <c r="P56" s="371" t="str">
        <f>_xlfn.XLOOKUP(D56,'Rent Roll - RPM'!$B$3:$B$60,'Rent Roll - RPM'!$Q$3:$Q$60,"")</f>
        <v/>
      </c>
      <c r="Q56" s="371" t="str">
        <f>_xlfn.XLOOKUP($D56,'Rent Roll - RPM'!$B$3:$B$60,'Rent Roll - RPM'!$R$3:$R$60,"")</f>
        <v/>
      </c>
      <c r="R56" s="375" t="str">
        <f>_xlfn.XLOOKUP(D56,'Rent Roll - RPM'!$B$3:$B$60,'Rent Roll - RPM'!$S$3:$S$60,"")</f>
        <v/>
      </c>
      <c r="S56" s="376">
        <v>2650</v>
      </c>
      <c r="T56" s="376">
        <f>S56/L56</f>
        <v>1.620795107033639</v>
      </c>
      <c r="V56" s="376"/>
      <c r="W56" s="376"/>
      <c r="X56" s="376"/>
    </row>
    <row r="57" spans="1:24" hidden="1" x14ac:dyDescent="0.25">
      <c r="A57" s="371">
        <v>1</v>
      </c>
      <c r="B57" s="371">
        <v>20</v>
      </c>
      <c r="C57" s="371">
        <v>84</v>
      </c>
      <c r="D57" s="371" t="str">
        <f>IF(ISNUMBER(SEARCH("Bobby Meadow",F57)),LEFT(F57,FIND(" ",F57)-1)&amp;"M",LEFT(F57,FIND(" ",F57)-1)&amp;MID(F57,FIND(" ",F57)+1,1))</f>
        <v>7423H</v>
      </c>
      <c r="E57" s="371" t="str">
        <f>IFERROR(IF(_xlfn.XMATCH(D57,'Rent Roll - RPM'!$B$3:$B$60,0,1)&gt;0,"Match","No Match"),"No Match")</f>
        <v>No Match</v>
      </c>
      <c r="F57" s="371" t="s">
        <v>434</v>
      </c>
      <c r="G57" s="371">
        <f>_xlfn.XLOOKUP(D57,'Rent Roll - RPM'!$B$3:$B$60,'Rent Roll - RPM'!$D$3:$D$60,0)</f>
        <v>0</v>
      </c>
      <c r="H57" s="371">
        <v>1</v>
      </c>
      <c r="I57" s="371" t="s">
        <v>398</v>
      </c>
      <c r="J57" s="371" t="s">
        <v>71</v>
      </c>
      <c r="K57" s="371" t="s">
        <v>342</v>
      </c>
      <c r="L57" s="378">
        <v>1909</v>
      </c>
      <c r="M57" s="371">
        <v>5</v>
      </c>
      <c r="N57" s="374">
        <v>45991</v>
      </c>
      <c r="O57" s="374" t="s">
        <v>347</v>
      </c>
      <c r="P57" s="371" t="str">
        <f>_xlfn.XLOOKUP(D57,'Rent Roll - RPM'!$B$3:$B$60,'Rent Roll - RPM'!$Q$3:$Q$60,"")</f>
        <v/>
      </c>
      <c r="Q57" s="371" t="str">
        <f>_xlfn.XLOOKUP($D57,'Rent Roll - RPM'!$B$3:$B$60,'Rent Roll - RPM'!$R$3:$R$60,"")</f>
        <v/>
      </c>
      <c r="R57" s="375" t="str">
        <f>_xlfn.XLOOKUP(D57,'Rent Roll - RPM'!$B$3:$B$60,'Rent Roll - RPM'!$S$3:$S$60,"")</f>
        <v/>
      </c>
      <c r="S57" s="376">
        <v>3150</v>
      </c>
      <c r="T57" s="376">
        <f>S57/L57</f>
        <v>1.6500785751702463</v>
      </c>
      <c r="V57" s="376"/>
      <c r="W57" s="376"/>
      <c r="X57" s="376"/>
    </row>
    <row r="58" spans="1:24" hidden="1" x14ac:dyDescent="0.25">
      <c r="A58" s="371">
        <v>2</v>
      </c>
      <c r="B58" s="371">
        <v>11</v>
      </c>
      <c r="C58" s="371">
        <v>60</v>
      </c>
      <c r="D58" s="371" t="str">
        <f>IF(ISNUMBER(SEARCH("Bobby Meadow",F58)),LEFT(F58,FIND(" ",F58)-1)&amp;"M",LEFT(F58,FIND(" ",F58)-1)&amp;MID(F58,FIND(" ",F58)+1,1))</f>
        <v>7423L</v>
      </c>
      <c r="E58" s="371" t="str">
        <f>IFERROR(IF(_xlfn.XMATCH(D58,'Rent Roll - RPM'!$B$3:$B$60,0,1)&gt;0,"Match","No Match"),"No Match")</f>
        <v>No Match</v>
      </c>
      <c r="F58" s="371" t="s">
        <v>415</v>
      </c>
      <c r="G58" s="371">
        <f>_xlfn.XLOOKUP(D58,'Rent Roll - RPM'!$B$3:$B$60,'Rent Roll - RPM'!$D$3:$D$60,0)</f>
        <v>0</v>
      </c>
      <c r="H58" s="371">
        <v>1</v>
      </c>
      <c r="I58" s="371" t="s">
        <v>346</v>
      </c>
      <c r="J58" s="371" t="s">
        <v>69</v>
      </c>
      <c r="K58" s="371" t="s">
        <v>342</v>
      </c>
      <c r="L58" s="373">
        <v>1852</v>
      </c>
      <c r="M58" s="371">
        <v>3</v>
      </c>
      <c r="N58" s="374" t="s">
        <v>205</v>
      </c>
      <c r="O58" s="374" t="s">
        <v>347</v>
      </c>
      <c r="P58" s="371" t="str">
        <f>_xlfn.XLOOKUP(D58,'Rent Roll - RPM'!$B$3:$B$60,'Rent Roll - RPM'!$Q$3:$Q$60,"")</f>
        <v/>
      </c>
      <c r="Q58" s="371" t="str">
        <f>_xlfn.XLOOKUP($D58,'Rent Roll - RPM'!$B$3:$B$60,'Rent Roll - RPM'!$R$3:$R$60,"")</f>
        <v/>
      </c>
      <c r="R58" s="375" t="str">
        <f>_xlfn.XLOOKUP(D58,'Rent Roll - RPM'!$B$3:$B$60,'Rent Roll - RPM'!$S$3:$S$60,"")</f>
        <v/>
      </c>
      <c r="S58" s="376">
        <v>2950</v>
      </c>
      <c r="T58" s="376">
        <f>S58/L58</f>
        <v>1.5928725701943844</v>
      </c>
      <c r="V58" s="376"/>
      <c r="W58" s="376"/>
      <c r="X58" s="376"/>
    </row>
    <row r="59" spans="1:24" hidden="1" x14ac:dyDescent="0.25">
      <c r="A59" s="371">
        <v>1</v>
      </c>
      <c r="B59" s="371">
        <v>21</v>
      </c>
      <c r="C59" s="371">
        <v>83</v>
      </c>
      <c r="D59" s="371" t="str">
        <f>IF(ISNUMBER(SEARCH("Bobby Meadow",F59)),LEFT(F59,FIND(" ",F59)-1)&amp;"M",LEFT(F59,FIND(" ",F59)-1)&amp;MID(F59,FIND(" ",F59)+1,1))</f>
        <v>7427H</v>
      </c>
      <c r="E59" s="371" t="str">
        <f>IFERROR(IF(_xlfn.XMATCH(D59,'Rent Roll - RPM'!$B$3:$B$60,0,1)&gt;0,"Match","No Match"),"No Match")</f>
        <v>No Match</v>
      </c>
      <c r="F59" s="371" t="s">
        <v>433</v>
      </c>
      <c r="G59" s="371">
        <f>_xlfn.XLOOKUP(D59,'Rent Roll - RPM'!$B$3:$B$60,'Rent Roll - RPM'!$D$3:$D$60,0)</f>
        <v>0</v>
      </c>
      <c r="H59" s="371">
        <v>1</v>
      </c>
      <c r="I59" s="371" t="s">
        <v>377</v>
      </c>
      <c r="J59" s="371" t="s">
        <v>71</v>
      </c>
      <c r="K59" s="371" t="s">
        <v>342</v>
      </c>
      <c r="L59" s="378">
        <v>1909</v>
      </c>
      <c r="M59" s="371">
        <v>5</v>
      </c>
      <c r="N59" s="374">
        <v>45991</v>
      </c>
      <c r="O59" s="374" t="s">
        <v>347</v>
      </c>
      <c r="P59" s="371" t="str">
        <f>_xlfn.XLOOKUP(D59,'Rent Roll - RPM'!$B$3:$B$60,'Rent Roll - RPM'!$Q$3:$Q$60,"")</f>
        <v/>
      </c>
      <c r="Q59" s="371" t="str">
        <f>_xlfn.XLOOKUP($D59,'Rent Roll - RPM'!$B$3:$B$60,'Rent Roll - RPM'!$R$3:$R$60,"")</f>
        <v/>
      </c>
      <c r="R59" s="375" t="str">
        <f>_xlfn.XLOOKUP(D59,'Rent Roll - RPM'!$B$3:$B$60,'Rent Roll - RPM'!$S$3:$S$60,"")</f>
        <v/>
      </c>
      <c r="S59" s="376">
        <v>3150</v>
      </c>
      <c r="T59" s="376">
        <f>S59/L59</f>
        <v>1.6500785751702463</v>
      </c>
      <c r="V59" s="376"/>
      <c r="W59" s="376"/>
      <c r="X59" s="376"/>
    </row>
    <row r="60" spans="1:24" hidden="1" x14ac:dyDescent="0.25">
      <c r="A60" s="371">
        <v>2</v>
      </c>
      <c r="B60" s="371">
        <v>12</v>
      </c>
      <c r="C60" s="371">
        <v>59</v>
      </c>
      <c r="D60" s="371" t="str">
        <f>IF(ISNUMBER(SEARCH("Bobby Meadow",F60)),LEFT(F60,FIND(" ",F60)-1)&amp;"M",LEFT(F60,FIND(" ",F60)-1)&amp;MID(F60,FIND(" ",F60)+1,1))</f>
        <v>7427L</v>
      </c>
      <c r="E60" s="371" t="str">
        <f>IFERROR(IF(_xlfn.XMATCH(D60,'Rent Roll - RPM'!$B$3:$B$60,0,1)&gt;0,"Match","No Match"),"No Match")</f>
        <v>No Match</v>
      </c>
      <c r="F60" s="371" t="s">
        <v>414</v>
      </c>
      <c r="G60" s="371">
        <f>_xlfn.XLOOKUP(D60,'Rent Roll - RPM'!$B$3:$B$60,'Rent Roll - RPM'!$D$3:$D$60,0)</f>
        <v>0</v>
      </c>
      <c r="H60" s="371">
        <v>1</v>
      </c>
      <c r="I60" s="371" t="s">
        <v>356</v>
      </c>
      <c r="J60" s="371" t="s">
        <v>65</v>
      </c>
      <c r="K60" s="371" t="s">
        <v>350</v>
      </c>
      <c r="L60" s="373">
        <v>1635</v>
      </c>
      <c r="M60" s="371">
        <v>3</v>
      </c>
      <c r="N60" s="374" t="s">
        <v>205</v>
      </c>
      <c r="O60" s="374" t="s">
        <v>347</v>
      </c>
      <c r="P60" s="375" t="str">
        <f>_xlfn.XLOOKUP(D60,'Rent Roll - RPM'!$B$3:$B$60,'Rent Roll - RPM'!$Q$3:$Q$60,"")</f>
        <v/>
      </c>
      <c r="Q60" s="375" t="str">
        <f>_xlfn.XLOOKUP($D60,'Rent Roll - RPM'!$B$3:$B$60,'Rent Roll - RPM'!$R$3:$R$60,"")</f>
        <v/>
      </c>
      <c r="R60" s="375" t="str">
        <f>_xlfn.XLOOKUP(D60,'Rent Roll - RPM'!$B$3:$B$60,'Rent Roll - RPM'!$S$3:$S$60,"")</f>
        <v/>
      </c>
      <c r="S60" s="376">
        <v>2650</v>
      </c>
      <c r="T60" s="376">
        <f>S60/L60</f>
        <v>1.620795107033639</v>
      </c>
      <c r="V60" s="376"/>
      <c r="W60" s="376"/>
      <c r="X60" s="376"/>
    </row>
    <row r="61" spans="1:24" x14ac:dyDescent="0.25">
      <c r="A61" s="371">
        <v>2</v>
      </c>
      <c r="B61" s="371">
        <v>16</v>
      </c>
      <c r="C61" s="371">
        <v>92</v>
      </c>
      <c r="D61" s="371" t="str">
        <f>IF(ISNUMBER(SEARCH("Bobby Meadow",F61)),LEFT(F61,FIND(" ",F61)-1)&amp;"M",LEFT(F61,FIND(" ",F61)-1)&amp;MID(F61,FIND(" ",F61)+1,1))</f>
        <v>7422H</v>
      </c>
      <c r="E61" s="371" t="str">
        <f>IFERROR(IF(_xlfn.XMATCH(D61,'Rent Roll - RPM'!$B$3:$B$60,0,1)&gt;0,"Match","No Match"),"No Match")</f>
        <v>No Match</v>
      </c>
      <c r="F61" s="371" t="s">
        <v>438</v>
      </c>
      <c r="G61" s="1087" t="s">
        <v>810</v>
      </c>
      <c r="H61" s="371">
        <v>1</v>
      </c>
      <c r="I61" s="371" t="s">
        <v>371</v>
      </c>
      <c r="J61" s="371" t="s">
        <v>65</v>
      </c>
      <c r="K61" s="371" t="s">
        <v>350</v>
      </c>
      <c r="L61" s="373">
        <v>1635</v>
      </c>
      <c r="M61" s="371">
        <v>5</v>
      </c>
      <c r="N61" s="374">
        <v>45991</v>
      </c>
      <c r="O61" s="374" t="s">
        <v>351</v>
      </c>
      <c r="P61" s="375">
        <f>Q61</f>
        <v>46127</v>
      </c>
      <c r="Q61" s="375">
        <v>46127</v>
      </c>
      <c r="R61" s="375" t="str">
        <f>_xlfn.XLOOKUP(D61,'Rent Roll - RPM'!$B$3:$B$60,'Rent Roll - RPM'!$S$3:$S$60,"")</f>
        <v/>
      </c>
      <c r="S61" s="376">
        <v>2650</v>
      </c>
      <c r="T61" s="376">
        <f>S61/L61</f>
        <v>1.620795107033639</v>
      </c>
      <c r="V61" s="376"/>
      <c r="W61" s="376"/>
      <c r="X61" s="376"/>
    </row>
    <row r="62" spans="1:24" x14ac:dyDescent="0.25">
      <c r="A62" s="371">
        <v>3</v>
      </c>
      <c r="B62" s="371">
        <v>16</v>
      </c>
      <c r="C62" s="371">
        <v>40</v>
      </c>
      <c r="D62" s="999" t="str">
        <f>IF(ISNUMBER(SEARCH("Bobby Meadow",F62)),LEFT(F62,FIND(" ",F62)-1)&amp;"M",LEFT(F62,FIND(" ",F62)-1)&amp;MID(F62,FIND(" ",F62)+1,1))</f>
        <v>7306C</v>
      </c>
      <c r="E62" s="371" t="str">
        <f>IFERROR(IF(_xlfn.XMATCH(D62,'Rent Roll - RPM'!$B$3:$B$60,0,1)&gt;0,"Match","No Match"),"No Match")</f>
        <v>Match</v>
      </c>
      <c r="F62" s="371" t="s">
        <v>407</v>
      </c>
      <c r="G62" s="1250" t="str">
        <f>_xlfn.XLOOKUP(D62,'Rent Roll - RPM'!$B$3:$B$60,'Rent Roll - RPM'!$D$3:$D$60,0)</f>
        <v>Williams, Anthony</v>
      </c>
      <c r="H62" s="371">
        <v>1</v>
      </c>
      <c r="I62" s="371" t="s">
        <v>344</v>
      </c>
      <c r="J62" s="371" t="s">
        <v>22</v>
      </c>
      <c r="K62" s="371" t="s">
        <v>342</v>
      </c>
      <c r="L62" s="373">
        <v>1685</v>
      </c>
      <c r="M62" s="371">
        <v>2</v>
      </c>
      <c r="N62" s="374" t="s">
        <v>205</v>
      </c>
      <c r="O62" s="374" t="s">
        <v>343</v>
      </c>
      <c r="P62" s="896">
        <v>46111</v>
      </c>
      <c r="Q62" s="375">
        <v>46143</v>
      </c>
      <c r="R62" s="375">
        <f>_xlfn.XLOOKUP(D62,'Rent Roll - RPM'!$B$3:$B$60,'Rent Roll - RPM'!$S$3:$S$60,"")</f>
        <v>46568</v>
      </c>
      <c r="S62" s="376">
        <v>2750</v>
      </c>
      <c r="T62" s="376">
        <f>S62/L62</f>
        <v>1.6320474777448071</v>
      </c>
      <c r="V62" s="376"/>
      <c r="W62" s="376"/>
      <c r="X62" s="376"/>
    </row>
    <row r="63" spans="1:24" x14ac:dyDescent="0.25">
      <c r="A63" s="371">
        <v>1</v>
      </c>
      <c r="B63" s="371">
        <v>23</v>
      </c>
      <c r="C63" s="371">
        <v>82</v>
      </c>
      <c r="D63" s="371" t="str">
        <f>IF(ISNUMBER(SEARCH("Bobby Meadow",F63)),LEFT(F63,FIND(" ",F63)-1)&amp;"M",LEFT(F63,FIND(" ",F63)-1)&amp;MID(F63,FIND(" ",F63)+1,1))</f>
        <v>7435H</v>
      </c>
      <c r="E63" s="371" t="str">
        <f>IFERROR(IF(_xlfn.XMATCH(D63,'Rent Roll - RPM'!$B$3:$B$60,0,1)&gt;0,"Match","No Match"),"No Match")</f>
        <v>Match</v>
      </c>
      <c r="F63" s="371" t="s">
        <v>432</v>
      </c>
      <c r="G63" s="371" t="str">
        <f>_xlfn.XLOOKUP(D63,'Rent Roll - RPM'!$B$3:$B$60,'Rent Roll - RPM'!$D$3:$D$60,0)</f>
        <v>Gonzalez, Ernesto</v>
      </c>
      <c r="H63" s="371">
        <v>1</v>
      </c>
      <c r="I63" s="371" t="s">
        <v>377</v>
      </c>
      <c r="J63" s="371" t="s">
        <v>71</v>
      </c>
      <c r="K63" s="371" t="s">
        <v>342</v>
      </c>
      <c r="L63" s="378">
        <v>1909</v>
      </c>
      <c r="M63" s="371">
        <v>5</v>
      </c>
      <c r="N63" s="374">
        <v>45991</v>
      </c>
      <c r="O63" s="374" t="s">
        <v>351</v>
      </c>
      <c r="P63" s="375">
        <v>46104</v>
      </c>
      <c r="Q63" s="375">
        <v>46108</v>
      </c>
      <c r="R63" s="375">
        <f>_xlfn.XLOOKUP(D63,'Rent Roll - RPM'!$B$3:$B$60,'Rent Roll - RPM'!$S$3:$S$60,"")</f>
        <v>46564</v>
      </c>
      <c r="S63" s="376">
        <v>3150</v>
      </c>
      <c r="T63" s="376">
        <f>S63/L63</f>
        <v>1.6500785751702463</v>
      </c>
      <c r="V63" s="376"/>
      <c r="W63" s="376"/>
      <c r="X63" s="376"/>
    </row>
    <row r="64" spans="1:24" x14ac:dyDescent="0.25">
      <c r="A64" s="371">
        <v>2</v>
      </c>
      <c r="B64" s="371">
        <v>13</v>
      </c>
      <c r="C64" s="371">
        <v>58</v>
      </c>
      <c r="D64" s="371" t="str">
        <f>IF(ISNUMBER(SEARCH("Bobby Meadow",F64)),LEFT(F64,FIND(" ",F64)-1)&amp;"M",LEFT(F64,FIND(" ",F64)-1)&amp;MID(F64,FIND(" ",F64)+1,1))</f>
        <v>7431L</v>
      </c>
      <c r="E64" s="371" t="str">
        <f>IFERROR(IF(_xlfn.XMATCH(D64,'Rent Roll - RPM'!$B$3:$B$60,0,1)&gt;0,"Match","No Match"),"No Match")</f>
        <v>Match</v>
      </c>
      <c r="F64" s="371" t="s">
        <v>413</v>
      </c>
      <c r="G64" s="371" t="str">
        <f>_xlfn.XLOOKUP(D64,'Rent Roll - RPM'!$B$3:$B$60,'Rent Roll - RPM'!$D$3:$D$60,0)</f>
        <v>Jones, Jillian</v>
      </c>
      <c r="I64" s="371" t="s">
        <v>349</v>
      </c>
      <c r="J64" s="371" t="s">
        <v>65</v>
      </c>
      <c r="K64" s="371" t="s">
        <v>350</v>
      </c>
      <c r="L64" s="373">
        <v>1635</v>
      </c>
      <c r="M64" s="371">
        <v>3</v>
      </c>
      <c r="N64" s="374" t="s">
        <v>205</v>
      </c>
      <c r="O64" s="374" t="s">
        <v>351</v>
      </c>
      <c r="P64" s="896">
        <v>46097</v>
      </c>
      <c r="Q64" s="375">
        <f>_xlfn.XLOOKUP($D64,'Rent Roll - RPM'!$B$3:$B$60,'Rent Roll - RPM'!$R$3:$R$60,"")</f>
        <v>46127</v>
      </c>
      <c r="R64" s="375">
        <f>_xlfn.XLOOKUP(D64,'Rent Roll - RPM'!$B$3:$B$60,'Rent Roll - RPM'!$S$3:$S$60,"")</f>
        <v>46521</v>
      </c>
      <c r="S64" s="376">
        <v>2650</v>
      </c>
      <c r="T64" s="376">
        <f>S64/L64</f>
        <v>1.620795107033639</v>
      </c>
      <c r="V64" s="376"/>
      <c r="W64" s="376"/>
      <c r="X64" s="376"/>
    </row>
    <row r="65" spans="1:24" x14ac:dyDescent="0.25">
      <c r="A65" s="371">
        <v>1</v>
      </c>
      <c r="B65" s="371">
        <v>47</v>
      </c>
      <c r="C65" s="371">
        <v>28</v>
      </c>
      <c r="D65" s="371" t="str">
        <f>IF(ISNUMBER(SEARCH("Bobby Meadow",F65)),LEFT(F65,FIND(" ",F65)-1)&amp;"M",LEFT(F65,FIND(" ",F65)-1)&amp;MID(F65,FIND(" ",F65)+1,1))</f>
        <v>22013L</v>
      </c>
      <c r="E65" s="371" t="str">
        <f>IFERROR(IF(_xlfn.XMATCH(D65,'Rent Roll - RPM'!$B$3:$B$60,0,1)&gt;0,"Match","No Match"),"No Match")</f>
        <v>Match</v>
      </c>
      <c r="F65" s="371" t="s">
        <v>396</v>
      </c>
      <c r="G65" s="371" t="str">
        <f>_xlfn.XLOOKUP(D65,'Rent Roll - RPM'!$B$3:$B$60,'Rent Roll - RPM'!$D$3:$D$60,0)</f>
        <v>Ajah, Grace</v>
      </c>
      <c r="I65" s="371" t="s">
        <v>379</v>
      </c>
      <c r="J65" s="371" t="s">
        <v>69</v>
      </c>
      <c r="K65" s="371" t="s">
        <v>342</v>
      </c>
      <c r="L65" s="373">
        <v>1852</v>
      </c>
      <c r="M65" s="371">
        <v>2</v>
      </c>
      <c r="N65" s="374" t="s">
        <v>205</v>
      </c>
      <c r="O65" s="374" t="s">
        <v>351</v>
      </c>
      <c r="P65" s="896">
        <v>46097</v>
      </c>
      <c r="Q65" s="375">
        <f>_xlfn.XLOOKUP($D65,'Rent Roll - RPM'!$B$3:$B$60,'Rent Roll - RPM'!$R$3:$R$60,"")</f>
        <v>46111</v>
      </c>
      <c r="R65" s="375">
        <f>_xlfn.XLOOKUP(D65,'Rent Roll - RPM'!$B$3:$B$60,'Rent Roll - RPM'!$S$3:$S$60,"")</f>
        <v>46506</v>
      </c>
      <c r="S65" s="376">
        <v>2950</v>
      </c>
      <c r="T65" s="376">
        <f>S65/L65</f>
        <v>1.5928725701943844</v>
      </c>
      <c r="V65" s="376"/>
      <c r="W65" s="376"/>
      <c r="X65" s="376"/>
    </row>
    <row r="66" spans="1:24" x14ac:dyDescent="0.25">
      <c r="A66" s="371">
        <v>1</v>
      </c>
      <c r="B66" s="371">
        <v>4</v>
      </c>
      <c r="C66" s="371">
        <v>108</v>
      </c>
      <c r="D66" s="371" t="str">
        <f>IF(ISNUMBER(SEARCH("Bobby Meadow",F66)),LEFT(F66,FIND(" ",F66)-1)&amp;"M",LEFT(F66,FIND(" ",F66)-1)&amp;MID(F66,FIND(" ",F66)+1,1))</f>
        <v>21902F</v>
      </c>
      <c r="E66" s="371" t="str">
        <f>IFERROR(IF(_xlfn.XMATCH(D66,'Rent Roll - RPM'!$B$3:$B$60,0,1)&gt;0,"Match","No Match"),"No Match")</f>
        <v>Match</v>
      </c>
      <c r="F66" s="371" t="s">
        <v>452</v>
      </c>
      <c r="G66" s="371" t="str">
        <f>_xlfn.XLOOKUP(D66,'Rent Roll - RPM'!$B$3:$B$60,'Rent Roll - RPM'!$D$3:$D$60,0)</f>
        <v>Ogunjimi, Oladeji</v>
      </c>
      <c r="I66" s="371" t="s">
        <v>379</v>
      </c>
      <c r="J66" s="371" t="s">
        <v>69</v>
      </c>
      <c r="K66" s="371" t="s">
        <v>342</v>
      </c>
      <c r="L66" s="373">
        <v>1852</v>
      </c>
      <c r="M66" s="371">
        <v>6</v>
      </c>
      <c r="N66" s="374">
        <v>46006</v>
      </c>
      <c r="O66" s="374" t="s">
        <v>351</v>
      </c>
      <c r="P66" s="375">
        <f>_xlfn.XLOOKUP(D66,'Rent Roll - RPM'!$B$3:$B$60,'Rent Roll - RPM'!$Q$3:$Q$60,"")</f>
        <v>46084</v>
      </c>
      <c r="Q66" s="375">
        <f>_xlfn.XLOOKUP($D66,'Rent Roll - RPM'!$B$3:$B$60,'Rent Roll - RPM'!$R$3:$R$60,"")</f>
        <v>46094</v>
      </c>
      <c r="R66" s="375">
        <f>_xlfn.XLOOKUP(D66,'Rent Roll - RPM'!$B$3:$B$60,'Rent Roll - RPM'!$S$3:$S$60,"")</f>
        <v>46489</v>
      </c>
      <c r="S66" s="376">
        <v>2950</v>
      </c>
      <c r="T66" s="376">
        <f>S66/L66</f>
        <v>1.5928725701943844</v>
      </c>
      <c r="V66" s="376"/>
      <c r="W66" s="376"/>
      <c r="X66" s="376"/>
    </row>
    <row r="67" spans="1:24" x14ac:dyDescent="0.25">
      <c r="A67" s="371">
        <v>3</v>
      </c>
      <c r="B67" s="371">
        <v>12</v>
      </c>
      <c r="C67" s="371">
        <v>36</v>
      </c>
      <c r="D67" s="371" t="str">
        <f>IF(ISNUMBER(SEARCH("Bobby Meadow",F67)),LEFT(F67,FIND(" ",F67)-1)&amp;"M",LEFT(F67,FIND(" ",F67)-1)&amp;MID(F67,FIND(" ",F67)+1,1))</f>
        <v>7322C</v>
      </c>
      <c r="E67" s="371" t="str">
        <f>IFERROR(IF(_xlfn.XMATCH(D67,'Rent Roll - RPM'!$B$3:$B$60,0,1)&gt;0,"Match","No Match"),"No Match")</f>
        <v>Match</v>
      </c>
      <c r="F67" s="371" t="s">
        <v>403</v>
      </c>
      <c r="G67" s="371" t="str">
        <f>_xlfn.XLOOKUP(D67,'Rent Roll - RPM'!$B$3:$B$60,'Rent Roll - RPM'!$D$3:$D$60,0)</f>
        <v>Wilson, Nicholas</v>
      </c>
      <c r="I67" s="371" t="s">
        <v>393</v>
      </c>
      <c r="J67" s="371" t="s">
        <v>73</v>
      </c>
      <c r="K67" s="371" t="s">
        <v>384</v>
      </c>
      <c r="L67" s="373">
        <v>2431</v>
      </c>
      <c r="M67" s="371">
        <v>2</v>
      </c>
      <c r="N67" s="374" t="s">
        <v>205</v>
      </c>
      <c r="O67" s="374" t="s">
        <v>351</v>
      </c>
      <c r="P67" s="375">
        <f>_xlfn.XLOOKUP(D67,'Rent Roll - RPM'!$B$3:$B$60,'Rent Roll - RPM'!$Q$3:$Q$60,"")</f>
        <v>46082</v>
      </c>
      <c r="Q67" s="375">
        <f>_xlfn.XLOOKUP($D67,'Rent Roll - RPM'!$B$3:$B$60,'Rent Roll - RPM'!$R$3:$R$60,"")</f>
        <v>46094</v>
      </c>
      <c r="R67" s="375">
        <f>_xlfn.XLOOKUP(D67,'Rent Roll - RPM'!$B$3:$B$60,'Rent Roll - RPM'!$S$3:$S$60,"")</f>
        <v>46489</v>
      </c>
      <c r="S67" s="376">
        <v>3600</v>
      </c>
      <c r="T67" s="376">
        <f>S67/L67</f>
        <v>1.4808720691073631</v>
      </c>
      <c r="V67" s="376"/>
      <c r="W67" s="376"/>
      <c r="X67" s="376"/>
    </row>
    <row r="68" spans="1:24" x14ac:dyDescent="0.25">
      <c r="A68" s="371">
        <v>1</v>
      </c>
      <c r="B68" s="371">
        <v>17</v>
      </c>
      <c r="C68" s="371">
        <v>87</v>
      </c>
      <c r="D68" s="371" t="str">
        <f>IF(ISNUMBER(SEARCH("Bobby Meadow",F68)),LEFT(F68,FIND(" ",F68)-1)&amp;"M",LEFT(F68,FIND(" ",F68)-1)&amp;MID(F68,FIND(" ",F68)+1,1))</f>
        <v>7411H</v>
      </c>
      <c r="E68" s="371" t="str">
        <f>IFERROR(IF(_xlfn.XMATCH(D68,'Rent Roll - RPM'!$B$3:$B$60,0,1)&gt;0,"Match","No Match"),"No Match")</f>
        <v>Match</v>
      </c>
      <c r="F68" s="371" t="s">
        <v>345</v>
      </c>
      <c r="G68" s="371" t="str">
        <f>_xlfn.XLOOKUP(D68,'Rent Roll - RPM'!$B$3:$B$60,'Rent Roll - RPM'!$D$3:$D$60,0)</f>
        <v>Contreras, Kristina</v>
      </c>
      <c r="I68" s="371" t="s">
        <v>346</v>
      </c>
      <c r="J68" s="371" t="s">
        <v>69</v>
      </c>
      <c r="K68" s="371" t="s">
        <v>342</v>
      </c>
      <c r="L68" s="373">
        <v>1852</v>
      </c>
      <c r="M68" s="371">
        <v>5</v>
      </c>
      <c r="N68" s="374">
        <v>45991</v>
      </c>
      <c r="O68" s="374" t="s">
        <v>351</v>
      </c>
      <c r="P68" s="375">
        <f>_xlfn.XLOOKUP(D68,'Rent Roll - RPM'!$B$3:$B$60,'Rent Roll - RPM'!$Q$3:$Q$60,"")</f>
        <v>46064</v>
      </c>
      <c r="Q68" s="375">
        <f>_xlfn.XLOOKUP($D68,'Rent Roll - RPM'!$B$3:$B$60,'Rent Roll - RPM'!$R$3:$R$60,"")</f>
        <v>46073</v>
      </c>
      <c r="R68" s="375">
        <f>_xlfn.XLOOKUP(D68,'Rent Roll - RPM'!$B$3:$B$60,'Rent Roll - RPM'!$S$3:$S$60,"")</f>
        <v>46526</v>
      </c>
      <c r="S68" s="376">
        <v>2950</v>
      </c>
      <c r="T68" s="376">
        <f>S68/L68</f>
        <v>1.5928725701943844</v>
      </c>
      <c r="V68" s="376"/>
      <c r="W68" s="376"/>
      <c r="X68" s="376"/>
    </row>
    <row r="69" spans="1:24" x14ac:dyDescent="0.25">
      <c r="A69" s="371">
        <v>2</v>
      </c>
      <c r="B69" s="371">
        <v>15</v>
      </c>
      <c r="C69" s="371">
        <v>91</v>
      </c>
      <c r="D69" s="371" t="str">
        <f>IF(ISNUMBER(SEARCH("Bobby Meadow",F69)),LEFT(F69,FIND(" ",F69)-1)&amp;"M",LEFT(F69,FIND(" ",F69)-1)&amp;MID(F69,FIND(" ",F69)+1,1))</f>
        <v>7426H</v>
      </c>
      <c r="E69" s="371" t="str">
        <f>IFERROR(IF(_xlfn.XMATCH(D69,'Rent Roll - RPM'!$B$3:$B$60,0,1)&gt;0,"Match","No Match"),"No Match")</f>
        <v>Match</v>
      </c>
      <c r="F69" s="371" t="s">
        <v>437</v>
      </c>
      <c r="G69" s="371" t="str">
        <f>_xlfn.XLOOKUP(D69,'Rent Roll - RPM'!$B$3:$B$60,'Rent Roll - RPM'!$D$3:$D$60,0)</f>
        <v>Kotun, Fatimah</v>
      </c>
      <c r="I69" s="371" t="s">
        <v>341</v>
      </c>
      <c r="J69" s="371" t="s">
        <v>22</v>
      </c>
      <c r="K69" s="371" t="s">
        <v>342</v>
      </c>
      <c r="L69" s="373">
        <v>1685</v>
      </c>
      <c r="M69" s="371">
        <v>5</v>
      </c>
      <c r="N69" s="374">
        <v>45991</v>
      </c>
      <c r="O69" s="374" t="s">
        <v>351</v>
      </c>
      <c r="P69" s="375">
        <f>_xlfn.XLOOKUP(D69,'Rent Roll - RPM'!$B$3:$B$60,'Rent Roll - RPM'!$Q$3:$Q$60,"")</f>
        <v>46062</v>
      </c>
      <c r="Q69" s="375">
        <f>_xlfn.XLOOKUP($D69,'Rent Roll - RPM'!$B$3:$B$60,'Rent Roll - RPM'!$R$3:$R$60,"")</f>
        <v>46073</v>
      </c>
      <c r="R69" s="375">
        <f>_xlfn.XLOOKUP(D69,'Rent Roll - RPM'!$B$3:$B$60,'Rent Roll - RPM'!$S$3:$S$60,"")</f>
        <v>46526</v>
      </c>
      <c r="S69" s="376">
        <v>2750</v>
      </c>
      <c r="T69" s="376">
        <f>S69/L69</f>
        <v>1.6320474777448071</v>
      </c>
      <c r="V69" s="376"/>
      <c r="W69" s="376"/>
      <c r="X69" s="376"/>
    </row>
    <row r="70" spans="1:24" x14ac:dyDescent="0.25">
      <c r="A70" s="371">
        <v>1</v>
      </c>
      <c r="B70" s="371">
        <v>10</v>
      </c>
      <c r="C70" s="371">
        <v>102</v>
      </c>
      <c r="D70" s="371" t="str">
        <f>IF(ISNUMBER(SEARCH("Bobby Meadow",F70)),LEFT(F70,FIND(" ",F70)-1)&amp;"M",LEFT(F70,FIND(" ",F70)-1)&amp;MID(F70,FIND(" ",F70)+1,1))</f>
        <v>7323H</v>
      </c>
      <c r="E70" s="371" t="str">
        <f>IFERROR(IF(_xlfn.XMATCH(D70,'Rent Roll - RPM'!$B$3:$B$60,0,1)&gt;0,"Match","No Match"),"No Match")</f>
        <v>Match</v>
      </c>
      <c r="F70" s="371" t="s">
        <v>340</v>
      </c>
      <c r="G70" s="371" t="str">
        <f>_xlfn.XLOOKUP(D70,'Rent Roll - RPM'!$B$3:$B$60,'Rent Roll - RPM'!$D$3:$D$60,0)</f>
        <v>Onyedebelu, Chimdimma</v>
      </c>
      <c r="I70" s="371" t="s">
        <v>341</v>
      </c>
      <c r="J70" s="371" t="s">
        <v>22</v>
      </c>
      <c r="K70" s="371" t="s">
        <v>342</v>
      </c>
      <c r="L70" s="373">
        <v>1685</v>
      </c>
      <c r="M70" s="371">
        <v>6</v>
      </c>
      <c r="N70" s="374">
        <v>46006</v>
      </c>
      <c r="O70" s="374" t="s">
        <v>351</v>
      </c>
      <c r="P70" s="896">
        <v>46054</v>
      </c>
      <c r="Q70" s="375">
        <f>_xlfn.XLOOKUP($D70,'Rent Roll - RPM'!$B$3:$B$60,'Rent Roll - RPM'!$R$3:$R$60,"")</f>
        <v>46108</v>
      </c>
      <c r="R70" s="375">
        <f>_xlfn.XLOOKUP(D70,'Rent Roll - RPM'!$B$3:$B$60,'Rent Roll - RPM'!$S$3:$S$60,"")</f>
        <v>46564</v>
      </c>
      <c r="S70" s="376">
        <v>2750</v>
      </c>
      <c r="T70" s="376">
        <f>S70/L70</f>
        <v>1.6320474777448071</v>
      </c>
      <c r="V70" s="376"/>
      <c r="W70" s="376"/>
      <c r="X70" s="376"/>
    </row>
    <row r="71" spans="1:24" x14ac:dyDescent="0.25">
      <c r="A71" s="371">
        <v>3</v>
      </c>
      <c r="B71" s="371">
        <v>21</v>
      </c>
      <c r="C71" s="371">
        <v>65</v>
      </c>
      <c r="D71" s="371" t="str">
        <f>IF(ISNUMBER(SEARCH("Bobby Meadow",F71)),LEFT(F71,FIND(" ",F71)-1)&amp;"M",LEFT(F71,FIND(" ",F71)-1)&amp;MID(F71,FIND(" ",F71)+1,1))</f>
        <v>7326L</v>
      </c>
      <c r="E71" s="371" t="str">
        <f>IFERROR(IF(_xlfn.XMATCH(D71,'Rent Roll - RPM'!$B$3:$B$60,0,1)&gt;0,"Match","No Match"),"No Match")</f>
        <v>Match</v>
      </c>
      <c r="F71" s="371" t="s">
        <v>357</v>
      </c>
      <c r="G71" s="371" t="str">
        <f>_xlfn.XLOOKUP(D71,'Rent Roll - RPM'!$B$3:$B$60,'Rent Roll - RPM'!$D$3:$D$60,0)</f>
        <v>Chukwujiwu, Henry</v>
      </c>
      <c r="I71" s="371" t="s">
        <v>341</v>
      </c>
      <c r="J71" s="371" t="s">
        <v>22</v>
      </c>
      <c r="K71" s="371" t="s">
        <v>342</v>
      </c>
      <c r="L71" s="373">
        <v>1685</v>
      </c>
      <c r="M71" s="371">
        <v>4</v>
      </c>
      <c r="N71" s="374">
        <v>45961</v>
      </c>
      <c r="O71" s="374" t="s">
        <v>351</v>
      </c>
      <c r="P71" s="375">
        <f>_xlfn.XLOOKUP(D71,'Rent Roll - RPM'!$B$3:$B$60,'Rent Roll - RPM'!$Q$3:$Q$60,"")</f>
        <v>46052</v>
      </c>
      <c r="Q71" s="375">
        <f>_xlfn.XLOOKUP($D71,'Rent Roll - RPM'!$B$3:$B$60,'Rent Roll - RPM'!$R$3:$R$60,"")</f>
        <v>46053</v>
      </c>
      <c r="R71" s="375">
        <f>_xlfn.XLOOKUP(D71,'Rent Roll - RPM'!$B$3:$B$60,'Rent Roll - RPM'!$S$3:$S$60,"")</f>
        <v>46446</v>
      </c>
      <c r="S71" s="376">
        <v>2750</v>
      </c>
      <c r="T71" s="376">
        <f>S71/L71</f>
        <v>1.6320474777448071</v>
      </c>
      <c r="V71" s="376"/>
      <c r="W71" s="376"/>
      <c r="X71" s="376"/>
    </row>
    <row r="72" spans="1:24" x14ac:dyDescent="0.25">
      <c r="A72" s="371">
        <v>3</v>
      </c>
      <c r="B72" s="371">
        <v>3</v>
      </c>
      <c r="C72" s="371">
        <v>16</v>
      </c>
      <c r="D72" s="371" t="str">
        <f>IF(ISNUMBER(SEARCH("Bobby Meadow",F72)),LEFT(F72,FIND(" ",F72)-1)&amp;"M",LEFT(F72,FIND(" ",F72)-1)&amp;MID(F72,FIND(" ",F72)+1,1))</f>
        <v>22019F</v>
      </c>
      <c r="E72" s="371" t="str">
        <f>IFERROR(IF(_xlfn.XMATCH(D72,'Rent Roll - RPM'!$B$3:$B$60,0,1)&gt;0,"Match","No Match"),"No Match")</f>
        <v>Match</v>
      </c>
      <c r="F72" s="371" t="s">
        <v>355</v>
      </c>
      <c r="G72" s="371" t="str">
        <f>_xlfn.XLOOKUP(D72,'Rent Roll - RPM'!$B$3:$B$60,'Rent Roll - RPM'!$D$3:$D$60,0)</f>
        <v>Ramazani, Mahdi</v>
      </c>
      <c r="I72" s="371" t="s">
        <v>356</v>
      </c>
      <c r="J72" s="371" t="s">
        <v>65</v>
      </c>
      <c r="K72" s="371" t="s">
        <v>350</v>
      </c>
      <c r="L72" s="373">
        <v>1635</v>
      </c>
      <c r="M72" s="371">
        <v>1</v>
      </c>
      <c r="N72" s="374" t="s">
        <v>205</v>
      </c>
      <c r="O72" s="374" t="s">
        <v>351</v>
      </c>
      <c r="P72" s="375">
        <f>_xlfn.XLOOKUP(D72,'Rent Roll - RPM'!$B$3:$B$60,'Rent Roll - RPM'!$Q$3:$Q$60,"")</f>
        <v>46052</v>
      </c>
      <c r="Q72" s="375">
        <f>_xlfn.XLOOKUP($D72,'Rent Roll - RPM'!$B$3:$B$60,'Rent Roll - RPM'!$R$3:$R$60,"")</f>
        <v>46063</v>
      </c>
      <c r="R72" s="375">
        <f>_xlfn.XLOOKUP(D72,'Rent Roll - RPM'!$B$3:$B$60,'Rent Roll - RPM'!$S$3:$S$60,"")</f>
        <v>46516</v>
      </c>
      <c r="S72" s="376">
        <v>2650</v>
      </c>
      <c r="T72" s="376">
        <f>S72/L72</f>
        <v>1.620795107033639</v>
      </c>
      <c r="V72" s="376"/>
      <c r="W72" s="376"/>
      <c r="X72" s="376"/>
    </row>
    <row r="73" spans="1:24" x14ac:dyDescent="0.25">
      <c r="A73" s="371">
        <v>1</v>
      </c>
      <c r="B73" s="371">
        <v>28</v>
      </c>
      <c r="C73" s="371">
        <v>57</v>
      </c>
      <c r="D73" s="371" t="str">
        <f>IF(ISNUMBER(SEARCH("Bobby Meadow",F73)),LEFT(F73,FIND(" ",F73)-1)&amp;"M",LEFT(F73,FIND(" ",F73)-1)&amp;MID(F73,FIND(" ",F73)+1,1))</f>
        <v>21923M</v>
      </c>
      <c r="E73" s="371" t="str">
        <f>IFERROR(IF(_xlfn.XMATCH(D73,'Rent Roll - RPM'!$B$3:$B$60,0,1)&gt;0,"Match","No Match"),"No Match")</f>
        <v>Match</v>
      </c>
      <c r="F73" s="371" t="s">
        <v>348</v>
      </c>
      <c r="G73" s="371" t="str">
        <f>_xlfn.XLOOKUP(D73,'Rent Roll - RPM'!$B$3:$B$60,'Rent Roll - RPM'!$D$3:$D$60,0)</f>
        <v>Buchanan, Britany</v>
      </c>
      <c r="I73" s="371" t="s">
        <v>349</v>
      </c>
      <c r="J73" s="371" t="s">
        <v>65</v>
      </c>
      <c r="K73" s="371" t="s">
        <v>350</v>
      </c>
      <c r="L73" s="373">
        <v>1635</v>
      </c>
      <c r="M73" s="371">
        <v>3</v>
      </c>
      <c r="N73" s="374" t="s">
        <v>205</v>
      </c>
      <c r="O73" s="374" t="s">
        <v>351</v>
      </c>
      <c r="P73" s="375">
        <f>_xlfn.XLOOKUP(D73,'Rent Roll - RPM'!$B$3:$B$60,'Rent Roll - RPM'!$Q$3:$Q$60,"")</f>
        <v>46044</v>
      </c>
      <c r="Q73" s="375">
        <f>_xlfn.XLOOKUP($D73,'Rent Roll - RPM'!$B$3:$B$60,'Rent Roll - RPM'!$R$3:$R$60,"")</f>
        <v>46080</v>
      </c>
      <c r="R73" s="375">
        <f>_xlfn.XLOOKUP(D73,'Rent Roll - RPM'!$B$3:$B$60,'Rent Roll - RPM'!$S$3:$S$60,"")</f>
        <v>46472</v>
      </c>
      <c r="S73" s="376">
        <v>2650</v>
      </c>
      <c r="T73" s="376">
        <f>S73/L73</f>
        <v>1.620795107033639</v>
      </c>
      <c r="V73" s="376"/>
      <c r="W73" s="376"/>
      <c r="X73" s="376"/>
    </row>
    <row r="74" spans="1:24" x14ac:dyDescent="0.25">
      <c r="A74" s="371">
        <v>1</v>
      </c>
      <c r="B74" s="371">
        <v>3</v>
      </c>
      <c r="C74" s="371">
        <v>109</v>
      </c>
      <c r="D74" s="371" t="str">
        <f>IF(ISNUMBER(SEARCH("Bobby Meadow",F74)),LEFT(F74,FIND(" ",F74)-1)&amp;"M",LEFT(F74,FIND(" ",F74)-1)&amp;MID(F74,FIND(" ",F74)+1,1))</f>
        <v>21906F</v>
      </c>
      <c r="E74" s="371" t="str">
        <f>IFERROR(IF(_xlfn.XMATCH(D74,'Rent Roll - RPM'!$B$3:$B$60,0,1)&gt;0,"Match","No Match"),"No Match")</f>
        <v>Match</v>
      </c>
      <c r="F74" s="371" t="s">
        <v>444</v>
      </c>
      <c r="G74" s="371" t="str">
        <f>_xlfn.XLOOKUP(D74,'Rent Roll - RPM'!$B$3:$B$60,'Rent Roll - RPM'!$D$3:$D$60,0)</f>
        <v>Ogembo, Samantha</v>
      </c>
      <c r="I74" s="371" t="s">
        <v>344</v>
      </c>
      <c r="J74" s="371" t="s">
        <v>22</v>
      </c>
      <c r="K74" s="371" t="s">
        <v>342</v>
      </c>
      <c r="L74" s="373">
        <v>1685</v>
      </c>
      <c r="M74" s="371">
        <v>6</v>
      </c>
      <c r="N74" s="374">
        <v>46006</v>
      </c>
      <c r="O74" s="374" t="s">
        <v>351</v>
      </c>
      <c r="P74" s="375">
        <f>_xlfn.XLOOKUP(D74,'Rent Roll - RPM'!$B$3:$B$60,'Rent Roll - RPM'!$Q$3:$Q$60,"")</f>
        <v>46041</v>
      </c>
      <c r="Q74" s="375">
        <f>_xlfn.XLOOKUP($D74,'Rent Roll - RPM'!$B$3:$B$60,'Rent Roll - RPM'!$R$3:$R$60,"")</f>
        <v>46085</v>
      </c>
      <c r="R74" s="375">
        <f>_xlfn.XLOOKUP(D74,'Rent Roll - RPM'!$B$3:$B$60,'Rent Roll - RPM'!$S$3:$S$60,"")</f>
        <v>46541</v>
      </c>
      <c r="S74" s="376">
        <v>2750</v>
      </c>
      <c r="T74" s="376">
        <f>S74/L74</f>
        <v>1.6320474777448071</v>
      </c>
      <c r="V74" s="376"/>
      <c r="W74" s="376"/>
      <c r="X74" s="376"/>
    </row>
    <row r="75" spans="1:24" x14ac:dyDescent="0.25">
      <c r="A75" s="371">
        <v>2</v>
      </c>
      <c r="B75" s="371">
        <v>22</v>
      </c>
      <c r="C75" s="371">
        <v>112</v>
      </c>
      <c r="D75" s="371" t="str">
        <f>IF(ISNUMBER(SEARCH("Bobby Meadow",F75)),LEFT(F75,FIND(" ",F75)-1)&amp;"M",LEFT(F75,FIND(" ",F75)-1)&amp;MID(F75,FIND(" ",F75)+1,1))</f>
        <v>7338H</v>
      </c>
      <c r="E75" s="371" t="str">
        <f>IFERROR(IF(_xlfn.XMATCH(D75,'Rent Roll - RPM'!$B$3:$B$60,0,1)&gt;0,"Match","No Match"),"No Match")</f>
        <v>Match</v>
      </c>
      <c r="F75" s="371" t="s">
        <v>353</v>
      </c>
      <c r="G75" s="371" t="str">
        <f>_xlfn.XLOOKUP(D75,'Rent Roll - RPM'!$B$3:$B$60,'Rent Roll - RPM'!$D$3:$D$60,0)</f>
        <v>Elborno, Lana</v>
      </c>
      <c r="I75" s="371" t="s">
        <v>341</v>
      </c>
      <c r="J75" s="371" t="s">
        <v>22</v>
      </c>
      <c r="K75" s="371" t="s">
        <v>342</v>
      </c>
      <c r="L75" s="373">
        <v>1685</v>
      </c>
      <c r="M75" s="371">
        <v>6</v>
      </c>
      <c r="N75" s="374">
        <v>46006</v>
      </c>
      <c r="O75" s="374" t="s">
        <v>351</v>
      </c>
      <c r="P75" s="375">
        <f>_xlfn.XLOOKUP(D75,'Rent Roll - RPM'!$B$3:$B$60,'Rent Roll - RPM'!$Q$3:$Q$60,"")</f>
        <v>46039</v>
      </c>
      <c r="Q75" s="375">
        <f>_xlfn.XLOOKUP($D75,'Rent Roll - RPM'!$B$3:$B$60,'Rent Roll - RPM'!$R$3:$R$60,"")</f>
        <v>46067</v>
      </c>
      <c r="R75" s="375">
        <f>_xlfn.XLOOKUP(D75,'Rent Roll - RPM'!$B$3:$B$60,'Rent Roll - RPM'!$S$3:$S$60,"")</f>
        <v>46459</v>
      </c>
      <c r="S75" s="376">
        <v>2750</v>
      </c>
      <c r="T75" s="376">
        <f>S75/L75</f>
        <v>1.6320474777448071</v>
      </c>
      <c r="V75" s="376"/>
      <c r="W75" s="376"/>
      <c r="X75" s="376"/>
    </row>
    <row r="76" spans="1:24" x14ac:dyDescent="0.25">
      <c r="A76" s="371">
        <v>1</v>
      </c>
      <c r="B76" s="371">
        <v>57</v>
      </c>
      <c r="C76" s="371">
        <v>11</v>
      </c>
      <c r="D76" s="371" t="str">
        <f>IF(ISNUMBER(SEARCH("Bobby Meadow",F76)),LEFT(F76,FIND(" ",F76)-1)&amp;"M",LEFT(F76,FIND(" ",F76)-1)&amp;MID(F76,FIND(" ",F76)+1,1))</f>
        <v>22042F</v>
      </c>
      <c r="E76" s="371" t="str">
        <f>IFERROR(IF(_xlfn.XMATCH(D76,'Rent Roll - RPM'!$B$3:$B$60,0,1)&gt;0,"Match","No Match"),"No Match")</f>
        <v>Match</v>
      </c>
      <c r="F76" s="371" t="s">
        <v>358</v>
      </c>
      <c r="G76" s="371" t="str">
        <f>_xlfn.XLOOKUP(D76,'Rent Roll - RPM'!$B$3:$B$60,'Rent Roll - RPM'!$D$3:$D$60,0)</f>
        <v>Casiano Hernandez, Beatriz</v>
      </c>
      <c r="I76" s="371" t="s">
        <v>346</v>
      </c>
      <c r="J76" s="371" t="s">
        <v>69</v>
      </c>
      <c r="K76" s="371" t="s">
        <v>342</v>
      </c>
      <c r="L76" s="373">
        <v>1852</v>
      </c>
      <c r="M76" s="371">
        <v>1</v>
      </c>
      <c r="N76" s="374" t="s">
        <v>205</v>
      </c>
      <c r="O76" s="374" t="s">
        <v>351</v>
      </c>
      <c r="P76" s="375">
        <f>_xlfn.XLOOKUP(D76,'Rent Roll - RPM'!$B$3:$B$60,'Rent Roll - RPM'!$Q$3:$Q$60,"")</f>
        <v>46035</v>
      </c>
      <c r="Q76" s="375">
        <f>_xlfn.XLOOKUP($D76,'Rent Roll - RPM'!$B$3:$B$60,'Rent Roll - RPM'!$R$3:$R$60,"")</f>
        <v>46037</v>
      </c>
      <c r="R76" s="375">
        <f>_xlfn.XLOOKUP(D76,'Rent Roll - RPM'!$B$3:$B$60,'Rent Roll - RPM'!$S$3:$S$60,"")</f>
        <v>46432</v>
      </c>
      <c r="S76" s="376">
        <v>2950</v>
      </c>
      <c r="T76" s="376">
        <f>S76/L76</f>
        <v>1.5928725701943844</v>
      </c>
      <c r="V76" s="376"/>
      <c r="W76" s="376"/>
      <c r="X76" s="376"/>
    </row>
    <row r="77" spans="1:24" x14ac:dyDescent="0.25">
      <c r="A77" s="371">
        <v>1</v>
      </c>
      <c r="B77" s="371">
        <v>24</v>
      </c>
      <c r="C77" s="371">
        <v>81</v>
      </c>
      <c r="D77" s="371" t="str">
        <f>IF(ISNUMBER(SEARCH("Bobby Meadow",F77)),LEFT(F77,FIND(" ",F77)-1)&amp;"M",LEFT(F77,FIND(" ",F77)-1)&amp;MID(F77,FIND(" ",F77)+1,1))</f>
        <v>21903M</v>
      </c>
      <c r="E77" s="371" t="str">
        <f>IFERROR(IF(_xlfn.XMATCH(D77,'Rent Roll - RPM'!$B$3:$B$60,0,1)&gt;0,"Match","No Match"),"No Match")</f>
        <v>Match</v>
      </c>
      <c r="F77" s="371" t="s">
        <v>352</v>
      </c>
      <c r="G77" s="371" t="str">
        <f>_xlfn.XLOOKUP(D77,'Rent Roll - RPM'!$B$3:$B$60,'Rent Roll - RPM'!$D$3:$D$60,0)</f>
        <v>Gutierrez, Erica</v>
      </c>
      <c r="I77" s="371" t="s">
        <v>346</v>
      </c>
      <c r="J77" s="371" t="s">
        <v>69</v>
      </c>
      <c r="K77" s="371" t="s">
        <v>342</v>
      </c>
      <c r="L77" s="373">
        <v>1852</v>
      </c>
      <c r="M77" s="371">
        <v>5</v>
      </c>
      <c r="N77" s="374">
        <v>45991</v>
      </c>
      <c r="O77" s="374" t="s">
        <v>351</v>
      </c>
      <c r="P77" s="375">
        <f>_xlfn.XLOOKUP(D77,'Rent Roll - RPM'!$B$3:$B$60,'Rent Roll - RPM'!$Q$3:$Q$60,"")</f>
        <v>46030</v>
      </c>
      <c r="Q77" s="375">
        <f>_xlfn.XLOOKUP($D77,'Rent Roll - RPM'!$B$3:$B$60,'Rent Roll - RPM'!$R$3:$R$60,"")</f>
        <v>46076</v>
      </c>
      <c r="R77" s="375">
        <f>_xlfn.XLOOKUP(D77,'Rent Roll - RPM'!$B$3:$B$60,'Rent Roll - RPM'!$S$3:$S$60,"")</f>
        <v>46468</v>
      </c>
      <c r="S77" s="376">
        <v>2950</v>
      </c>
      <c r="T77" s="376">
        <f>S77/L77</f>
        <v>1.5928725701943844</v>
      </c>
      <c r="V77" s="376"/>
      <c r="W77" s="376"/>
      <c r="X77" s="376"/>
    </row>
    <row r="78" spans="1:24" x14ac:dyDescent="0.25">
      <c r="A78" s="371">
        <v>1</v>
      </c>
      <c r="B78" s="371">
        <v>18</v>
      </c>
      <c r="C78" s="371">
        <v>86</v>
      </c>
      <c r="D78" s="371" t="str">
        <f>IF(ISNUMBER(SEARCH("Bobby Meadow",F78)),LEFT(F78,FIND(" ",F78)-1)&amp;"M",LEFT(F78,FIND(" ",F78)-1)&amp;MID(F78,FIND(" ",F78)+1,1))</f>
        <v>7415H</v>
      </c>
      <c r="E78" s="371" t="str">
        <f>IFERROR(IF(_xlfn.XMATCH(D78,'Rent Roll - RPM'!$B$3:$B$60,0,1)&gt;0,"Match","No Match"),"No Match")</f>
        <v>Match</v>
      </c>
      <c r="F78" s="371" t="s">
        <v>363</v>
      </c>
      <c r="G78" s="371" t="str">
        <f>_xlfn.XLOOKUP(D78,'Rent Roll - RPM'!$B$3:$B$60,'Rent Roll - RPM'!$D$3:$D$60,0)</f>
        <v>King, Tristan</v>
      </c>
      <c r="I78" s="371" t="s">
        <v>344</v>
      </c>
      <c r="J78" s="371" t="s">
        <v>22</v>
      </c>
      <c r="K78" s="371" t="s">
        <v>342</v>
      </c>
      <c r="L78" s="373">
        <v>1685</v>
      </c>
      <c r="M78" s="371">
        <v>5</v>
      </c>
      <c r="N78" s="374">
        <v>45991</v>
      </c>
      <c r="O78" s="374" t="s">
        <v>351</v>
      </c>
      <c r="P78" s="375">
        <f>_xlfn.XLOOKUP(D78,'Rent Roll - RPM'!$B$3:$B$60,'Rent Roll - RPM'!$Q$3:$Q$60,"")</f>
        <v>46025</v>
      </c>
      <c r="Q78" s="375">
        <f>_xlfn.XLOOKUP($D78,'Rent Roll - RPM'!$B$3:$B$60,'Rent Roll - RPM'!$R$3:$R$60,"")</f>
        <v>46037</v>
      </c>
      <c r="R78" s="375">
        <f>_xlfn.XLOOKUP(D78,'Rent Roll - RPM'!$B$3:$B$60,'Rent Roll - RPM'!$S$3:$S$60,"")</f>
        <v>46432</v>
      </c>
      <c r="S78" s="376">
        <v>2750</v>
      </c>
      <c r="T78" s="376">
        <f>S78/L78</f>
        <v>1.6320474777448071</v>
      </c>
      <c r="V78" s="376"/>
      <c r="W78" s="376"/>
      <c r="X78" s="376"/>
    </row>
    <row r="79" spans="1:24" x14ac:dyDescent="0.25">
      <c r="A79" s="371">
        <v>2</v>
      </c>
      <c r="B79" s="371">
        <v>2</v>
      </c>
      <c r="C79" s="371">
        <v>69</v>
      </c>
      <c r="D79" s="371" t="str">
        <f>IF(ISNUMBER(SEARCH("Bobby Meadow",F79)),LEFT(F79,FIND(" ",F79)-1)&amp;"M",LEFT(F79,FIND(" ",F79)-1)&amp;MID(F79,FIND(" ",F79)+1,1))</f>
        <v>7307L</v>
      </c>
      <c r="E79" s="371" t="str">
        <f>IFERROR(IF(_xlfn.XMATCH(D79,'Rent Roll - RPM'!$B$3:$B$60,0,1)&gt;0,"Match","No Match"),"No Match")</f>
        <v>Match</v>
      </c>
      <c r="F79" s="371" t="s">
        <v>361</v>
      </c>
      <c r="G79" s="371" t="str">
        <f>_xlfn.XLOOKUP(D79,'Rent Roll - RPM'!$B$3:$B$60,'Rent Roll - RPM'!$D$3:$D$60,0)</f>
        <v>Scott, Jeaneen</v>
      </c>
      <c r="I79" s="371" t="s">
        <v>362</v>
      </c>
      <c r="J79" s="371" t="s">
        <v>22</v>
      </c>
      <c r="K79" s="371" t="s">
        <v>342</v>
      </c>
      <c r="L79" s="373">
        <v>1685</v>
      </c>
      <c r="M79" s="371">
        <v>4</v>
      </c>
      <c r="N79" s="374">
        <v>45961</v>
      </c>
      <c r="O79" s="374" t="s">
        <v>351</v>
      </c>
      <c r="P79" s="375">
        <f>_xlfn.XLOOKUP(D79,'Rent Roll - RPM'!$B$3:$B$60,'Rent Roll - RPM'!$Q$3:$Q$60,"")</f>
        <v>46025</v>
      </c>
      <c r="Q79" s="375">
        <f>_xlfn.XLOOKUP($D79,'Rent Roll - RPM'!$B$3:$B$60,'Rent Roll - RPM'!$R$3:$R$60,"")</f>
        <v>46032</v>
      </c>
      <c r="R79" s="375">
        <f>_xlfn.XLOOKUP(D79,'Rent Roll - RPM'!$B$3:$B$60,'Rent Roll - RPM'!$S$3:$S$60,"")</f>
        <v>46486</v>
      </c>
      <c r="S79" s="376">
        <v>2750</v>
      </c>
      <c r="T79" s="376">
        <f>S79/L79</f>
        <v>1.6320474777448071</v>
      </c>
      <c r="V79" s="376"/>
      <c r="W79" s="376"/>
      <c r="X79" s="376"/>
    </row>
    <row r="80" spans="1:24" x14ac:dyDescent="0.25">
      <c r="A80" s="371">
        <v>1</v>
      </c>
      <c r="B80" s="371">
        <v>31</v>
      </c>
      <c r="C80" s="371">
        <v>54</v>
      </c>
      <c r="D80" s="371" t="str">
        <f>IF(ISNUMBER(SEARCH("Bobby Meadow",F80)),LEFT(F80,FIND(" ",F80)-1)&amp;"M",LEFT(F80,FIND(" ",F80)-1)&amp;MID(F80,FIND(" ",F80)+1,1))</f>
        <v>21935M</v>
      </c>
      <c r="E80" s="371" t="str">
        <f>IFERROR(IF(_xlfn.XMATCH(D80,'Rent Roll - RPM'!$B$3:$B$60,0,1)&gt;0,"Match","No Match"),"No Match")</f>
        <v>Match</v>
      </c>
      <c r="F80" s="371" t="s">
        <v>365</v>
      </c>
      <c r="G80" s="371" t="str">
        <f>_xlfn.XLOOKUP(D80,'Rent Roll - RPM'!$B$3:$B$60,'Rent Roll - RPM'!$D$3:$D$60,0)</f>
        <v>Akamimo, Vivian</v>
      </c>
      <c r="I80" s="371" t="s">
        <v>344</v>
      </c>
      <c r="J80" s="371" t="s">
        <v>22</v>
      </c>
      <c r="K80" s="371" t="s">
        <v>342</v>
      </c>
      <c r="L80" s="373">
        <v>1685</v>
      </c>
      <c r="M80" s="371">
        <v>3</v>
      </c>
      <c r="N80" s="374" t="s">
        <v>205</v>
      </c>
      <c r="O80" s="374" t="s">
        <v>351</v>
      </c>
      <c r="P80" s="375">
        <f>_xlfn.XLOOKUP(D80,'Rent Roll - RPM'!$B$3:$B$60,'Rent Roll - RPM'!$Q$3:$Q$60,"")</f>
        <v>46025</v>
      </c>
      <c r="Q80" s="375">
        <f>_xlfn.XLOOKUP($D80,'Rent Roll - RPM'!$B$3:$B$60,'Rent Roll - RPM'!$R$3:$R$60,"")</f>
        <v>46028</v>
      </c>
      <c r="R80" s="375">
        <f>_xlfn.XLOOKUP(D80,'Rent Roll - RPM'!$B$3:$B$60,'Rent Roll - RPM'!$S$3:$S$60,"")</f>
        <v>46482</v>
      </c>
      <c r="S80" s="376">
        <v>2750</v>
      </c>
      <c r="T80" s="376">
        <f>S80/L80</f>
        <v>1.6320474777448071</v>
      </c>
      <c r="V80" s="376"/>
      <c r="W80" s="376"/>
      <c r="X80" s="376"/>
    </row>
    <row r="81" spans="1:24" x14ac:dyDescent="0.25">
      <c r="A81" s="371">
        <v>2</v>
      </c>
      <c r="B81" s="371">
        <v>10</v>
      </c>
      <c r="C81" s="371">
        <v>61</v>
      </c>
      <c r="D81" s="371" t="str">
        <f>IF(ISNUMBER(SEARCH("Bobby Meadow",F81)),LEFT(F81,FIND(" ",F81)-1)&amp;"M",LEFT(F81,FIND(" ",F81)-1)&amp;MID(F81,FIND(" ",F81)+1,1))</f>
        <v>7419L</v>
      </c>
      <c r="E81" s="371" t="str">
        <f>IFERROR(IF(_xlfn.XMATCH(D81,'Rent Roll - RPM'!$B$3:$B$60,0,1)&gt;0,"Match","No Match"),"No Match")</f>
        <v>Match</v>
      </c>
      <c r="F81" s="371" t="s">
        <v>297</v>
      </c>
      <c r="G81" s="371" t="str">
        <f>_xlfn.XLOOKUP(D81,'Rent Roll - RPM'!$B$3:$B$60,'Rent Roll - RPM'!$D$3:$D$60,0)</f>
        <v>Draper, Blake</v>
      </c>
      <c r="I81" s="371" t="s">
        <v>341</v>
      </c>
      <c r="J81" s="371" t="s">
        <v>22</v>
      </c>
      <c r="K81" s="371" t="s">
        <v>342</v>
      </c>
      <c r="L81" s="373">
        <v>1685</v>
      </c>
      <c r="M81" s="371">
        <v>3</v>
      </c>
      <c r="N81" s="374" t="s">
        <v>205</v>
      </c>
      <c r="O81" s="374" t="s">
        <v>351</v>
      </c>
      <c r="P81" s="375">
        <f>_xlfn.XLOOKUP(D81,'Rent Roll - RPM'!$B$3:$B$60,'Rent Roll - RPM'!$Q$3:$Q$60,"")</f>
        <v>46013</v>
      </c>
      <c r="Q81" s="375">
        <f>_xlfn.XLOOKUP($D81,'Rent Roll - RPM'!$B$3:$B$60,'Rent Roll - RPM'!$R$3:$R$60,"")</f>
        <v>46018</v>
      </c>
      <c r="R81" s="375">
        <f>_xlfn.XLOOKUP(D81,'Rent Roll - RPM'!$B$3:$B$60,'Rent Roll - RPM'!$S$3:$S$60,"")</f>
        <v>46413</v>
      </c>
      <c r="S81" s="376">
        <v>2750</v>
      </c>
      <c r="T81" s="376">
        <f>S81/L81</f>
        <v>1.6320474777448071</v>
      </c>
      <c r="V81" s="376"/>
      <c r="W81" s="376"/>
      <c r="X81" s="376"/>
    </row>
    <row r="82" spans="1:24" x14ac:dyDescent="0.25">
      <c r="A82" s="371">
        <v>3</v>
      </c>
      <c r="B82" s="371">
        <v>6</v>
      </c>
      <c r="C82" s="371">
        <v>19</v>
      </c>
      <c r="D82" s="371" t="str">
        <f>IF(ISNUMBER(SEARCH("Bobby Meadow",F82)),LEFT(F82,FIND(" ",F82)-1)&amp;"M",LEFT(F82,FIND(" ",F82)-1)&amp;MID(F82,FIND(" ",F82)+1,1))</f>
        <v>22031F</v>
      </c>
      <c r="E82" s="371" t="str">
        <f>IFERROR(IF(_xlfn.XMATCH(D82,'Rent Roll - RPM'!$B$3:$B$60,0,1)&gt;0,"Match","No Match"),"No Match")</f>
        <v>Match</v>
      </c>
      <c r="F82" s="371" t="s">
        <v>366</v>
      </c>
      <c r="G82" s="371" t="str">
        <f>_xlfn.XLOOKUP(D82,'Rent Roll - RPM'!$B$3:$B$60,'Rent Roll - RPM'!$D$3:$D$60,0)</f>
        <v>Adegbuyi, Taiwo</v>
      </c>
      <c r="I82" s="371" t="s">
        <v>344</v>
      </c>
      <c r="J82" s="371" t="s">
        <v>22</v>
      </c>
      <c r="K82" s="371" t="s">
        <v>342</v>
      </c>
      <c r="L82" s="373">
        <v>1685</v>
      </c>
      <c r="M82" s="371">
        <v>1</v>
      </c>
      <c r="N82" s="374" t="s">
        <v>205</v>
      </c>
      <c r="O82" s="374" t="s">
        <v>351</v>
      </c>
      <c r="P82" s="375">
        <f>_xlfn.XLOOKUP(D82,'Rent Roll - RPM'!$B$3:$B$60,'Rent Roll - RPM'!$Q$3:$Q$60,"")</f>
        <v>46013</v>
      </c>
      <c r="Q82" s="375">
        <f>_xlfn.XLOOKUP($D82,'Rent Roll - RPM'!$B$3:$B$60,'Rent Roll - RPM'!$R$3:$R$60,"")</f>
        <v>46014</v>
      </c>
      <c r="R82" s="375">
        <f>_xlfn.XLOOKUP(D82,'Rent Roll - RPM'!$B$3:$B$60,'Rent Roll - RPM'!$S$3:$S$60,"")</f>
        <v>46409</v>
      </c>
      <c r="S82" s="376">
        <v>2750</v>
      </c>
      <c r="T82" s="376">
        <f>S82/L82</f>
        <v>1.6320474777448071</v>
      </c>
      <c r="V82" s="376"/>
      <c r="W82" s="376"/>
      <c r="X82" s="376"/>
    </row>
    <row r="83" spans="1:24" x14ac:dyDescent="0.25">
      <c r="A83" s="371">
        <v>3</v>
      </c>
      <c r="B83" s="371">
        <v>7</v>
      </c>
      <c r="C83" s="371">
        <v>20</v>
      </c>
      <c r="D83" s="371" t="str">
        <f>IF(ISNUMBER(SEARCH("Bobby Meadow",F83)),LEFT(F83,FIND(" ",F83)-1)&amp;"M",LEFT(F83,FIND(" ",F83)-1)&amp;MID(F83,FIND(" ",F83)+1,1))</f>
        <v>22035F</v>
      </c>
      <c r="E83" s="371" t="str">
        <f>IFERROR(IF(_xlfn.XMATCH(D83,'Rent Roll - RPM'!$B$3:$B$60,0,1)&gt;0,"Match","No Match"),"No Match")</f>
        <v>Match</v>
      </c>
      <c r="F83" s="371" t="s">
        <v>367</v>
      </c>
      <c r="G83" s="371" t="str">
        <f>_xlfn.XLOOKUP(D83,'Rent Roll - RPM'!$B$3:$B$60,'Rent Roll - RPM'!$D$3:$D$60,0)</f>
        <v>Isikwe, Sheela</v>
      </c>
      <c r="I83" s="371" t="s">
        <v>341</v>
      </c>
      <c r="J83" s="371" t="s">
        <v>22</v>
      </c>
      <c r="K83" s="371" t="s">
        <v>342</v>
      </c>
      <c r="L83" s="373">
        <v>1685</v>
      </c>
      <c r="M83" s="371">
        <v>1</v>
      </c>
      <c r="N83" s="374" t="s">
        <v>205</v>
      </c>
      <c r="O83" s="374" t="s">
        <v>351</v>
      </c>
      <c r="P83" s="375">
        <f>_xlfn.XLOOKUP(D83,'Rent Roll - RPM'!$B$3:$B$60,'Rent Roll - RPM'!$Q$3:$Q$60,"")</f>
        <v>45994</v>
      </c>
      <c r="Q83" s="375">
        <f>_xlfn.XLOOKUP($D83,'Rent Roll - RPM'!$B$3:$B$60,'Rent Roll - RPM'!$R$3:$R$60,"")</f>
        <v>46003</v>
      </c>
      <c r="R83" s="375">
        <f>_xlfn.XLOOKUP(D83,'Rent Roll - RPM'!$B$3:$B$60,'Rent Roll - RPM'!$S$3:$S$60,"")</f>
        <v>46398</v>
      </c>
      <c r="S83" s="376">
        <v>2750</v>
      </c>
      <c r="T83" s="376">
        <f>S83/L83</f>
        <v>1.6320474777448071</v>
      </c>
      <c r="V83" s="376"/>
      <c r="W83" s="376"/>
      <c r="X83" s="376"/>
    </row>
    <row r="84" spans="1:24" x14ac:dyDescent="0.25">
      <c r="A84" s="371">
        <v>3</v>
      </c>
      <c r="B84" s="371">
        <v>22</v>
      </c>
      <c r="C84" s="371">
        <v>66</v>
      </c>
      <c r="D84" s="371" t="str">
        <f>IF(ISNUMBER(SEARCH("Bobby Meadow",F84)),LEFT(F84,FIND(" ",F84)-1)&amp;"M",LEFT(F84,FIND(" ",F84)-1)&amp;MID(F84,FIND(" ",F84)+1,1))</f>
        <v>7330L</v>
      </c>
      <c r="E84" s="371" t="str">
        <f>IFERROR(IF(_xlfn.XMATCH(D84,'Rent Roll - RPM'!$B$3:$B$60,0,1)&gt;0,"Match","No Match"),"No Match")</f>
        <v>Match</v>
      </c>
      <c r="F84" s="371" t="s">
        <v>388</v>
      </c>
      <c r="G84" s="371" t="str">
        <f>_xlfn.XLOOKUP(D84,'Rent Roll - RPM'!$B$3:$B$60,'Rent Roll - RPM'!$D$3:$D$60,0)</f>
        <v>Nwagbosoma, Ikechukwu</v>
      </c>
      <c r="I84" s="371" t="s">
        <v>369</v>
      </c>
      <c r="J84" s="371" t="s">
        <v>323</v>
      </c>
      <c r="K84" s="371" t="s">
        <v>350</v>
      </c>
      <c r="L84" s="377">
        <v>1425</v>
      </c>
      <c r="M84" s="371">
        <v>4</v>
      </c>
      <c r="N84" s="374">
        <v>45961</v>
      </c>
      <c r="O84" s="374" t="s">
        <v>351</v>
      </c>
      <c r="P84" s="375">
        <f>_xlfn.XLOOKUP(D84,'Rent Roll - RPM'!$B$3:$B$60,'Rent Roll - RPM'!$Q$3:$Q$60,"")</f>
        <v>45993</v>
      </c>
      <c r="Q84" s="375">
        <f>_xlfn.XLOOKUP($D84,'Rent Roll - RPM'!$B$3:$B$60,'Rent Roll - RPM'!$R$3:$R$60,"")</f>
        <v>45997</v>
      </c>
      <c r="R84" s="375">
        <f>_xlfn.XLOOKUP(D84,'Rent Roll - RPM'!$B$3:$B$60,'Rent Roll - RPM'!$S$3:$S$60,"")</f>
        <v>46392</v>
      </c>
      <c r="S84" s="376">
        <v>2450</v>
      </c>
      <c r="T84" s="376">
        <f>S84/L84</f>
        <v>1.7192982456140351</v>
      </c>
      <c r="V84" s="376"/>
      <c r="W84" s="376"/>
      <c r="X84" s="376"/>
    </row>
    <row r="85" spans="1:24" x14ac:dyDescent="0.25">
      <c r="A85" s="371">
        <v>1</v>
      </c>
      <c r="B85" s="371">
        <v>5</v>
      </c>
      <c r="C85" s="371">
        <v>107</v>
      </c>
      <c r="D85" s="371" t="str">
        <f>IF(ISNUMBER(SEARCH("Bobby Meadow",F85)),LEFT(F85,FIND(" ",F85)-1)&amp;"M",LEFT(F85,FIND(" ",F85)-1)&amp;MID(F85,FIND(" ",F85)+1,1))</f>
        <v>7303H</v>
      </c>
      <c r="E85" s="371" t="str">
        <f>IFERROR(IF(_xlfn.XMATCH(D85,'Rent Roll - RPM'!$B$3:$B$60,0,1)&gt;0,"Match","No Match"),"No Match")</f>
        <v>Match</v>
      </c>
      <c r="F85" s="371" t="s">
        <v>359</v>
      </c>
      <c r="G85" s="371" t="str">
        <f>_xlfn.XLOOKUP(D85,'Rent Roll - RPM'!$B$3:$B$60,'Rent Roll - RPM'!$D$3:$D$60,0)</f>
        <v>Akoma, Ijeoma</v>
      </c>
      <c r="I85" s="371" t="s">
        <v>360</v>
      </c>
      <c r="J85" s="371" t="s">
        <v>69</v>
      </c>
      <c r="K85" s="371" t="s">
        <v>342</v>
      </c>
      <c r="L85" s="373">
        <v>1852</v>
      </c>
      <c r="M85" s="371">
        <v>6</v>
      </c>
      <c r="N85" s="374">
        <v>46006</v>
      </c>
      <c r="O85" s="374" t="s">
        <v>351</v>
      </c>
      <c r="P85" s="375">
        <f>_xlfn.XLOOKUP(D85,'Rent Roll - RPM'!$B$3:$B$60,'Rent Roll - RPM'!$Q$3:$Q$60,"")</f>
        <v>45992</v>
      </c>
      <c r="Q85" s="375">
        <f>_xlfn.XLOOKUP($D85,'Rent Roll - RPM'!$B$3:$B$60,'Rent Roll - RPM'!$R$3:$R$60,"")</f>
        <v>46037</v>
      </c>
      <c r="R85" s="375">
        <f>_xlfn.XLOOKUP(D85,'Rent Roll - RPM'!$B$3:$B$60,'Rent Roll - RPM'!$S$3:$S$60,"")</f>
        <v>46432</v>
      </c>
      <c r="S85" s="376">
        <v>2950</v>
      </c>
      <c r="T85" s="376">
        <f>S85/L85</f>
        <v>1.5928725701943844</v>
      </c>
      <c r="V85" s="376"/>
      <c r="W85" s="376"/>
      <c r="X85" s="376"/>
    </row>
    <row r="86" spans="1:24" x14ac:dyDescent="0.25">
      <c r="A86" s="371">
        <v>3</v>
      </c>
      <c r="B86" s="371">
        <v>17</v>
      </c>
      <c r="C86" s="371">
        <v>41</v>
      </c>
      <c r="D86" s="371" t="str">
        <f>IF(ISNUMBER(SEARCH("Bobby Meadow",F86)),LEFT(F86,FIND(" ",F86)-1)&amp;"M",LEFT(F86,FIND(" ",F86)-1)&amp;MID(F86,FIND(" ",F86)+1,1))</f>
        <v>7302C</v>
      </c>
      <c r="E86" s="371" t="str">
        <f>IFERROR(IF(_xlfn.XMATCH(D86,'Rent Roll - RPM'!$B$3:$B$60,0,1)&gt;0,"Match","No Match"),"No Match")</f>
        <v>Match</v>
      </c>
      <c r="F86" s="371" t="s">
        <v>278</v>
      </c>
      <c r="G86" s="371" t="str">
        <f>_xlfn.XLOOKUP(D86,'Rent Roll - RPM'!$B$3:$B$60,'Rent Roll - RPM'!$D$3:$D$60,0)</f>
        <v>Owens, Rachel</v>
      </c>
      <c r="I86" s="371" t="s">
        <v>341</v>
      </c>
      <c r="J86" s="371" t="s">
        <v>22</v>
      </c>
      <c r="K86" s="371" t="s">
        <v>342</v>
      </c>
      <c r="L86" s="373">
        <v>1685</v>
      </c>
      <c r="M86" s="371">
        <v>2</v>
      </c>
      <c r="N86" s="374" t="s">
        <v>205</v>
      </c>
      <c r="O86" s="374" t="s">
        <v>351</v>
      </c>
      <c r="P86" s="375">
        <f>_xlfn.XLOOKUP(D86,'Rent Roll - RPM'!$B$3:$B$60,'Rent Roll - RPM'!$Q$3:$Q$60,"")</f>
        <v>45966</v>
      </c>
      <c r="Q86" s="375">
        <f>_xlfn.XLOOKUP($D86,'Rent Roll - RPM'!$B$3:$B$60,'Rent Roll - RPM'!$R$3:$R$60,"")</f>
        <v>45983</v>
      </c>
      <c r="R86" s="375">
        <f>_xlfn.XLOOKUP(D86,'Rent Roll - RPM'!$B$3:$B$60,'Rent Roll - RPM'!$S$3:$S$60,"")</f>
        <v>46377</v>
      </c>
      <c r="S86" s="376">
        <v>2750</v>
      </c>
      <c r="T86" s="376">
        <f>S86/L86</f>
        <v>1.6320474777448071</v>
      </c>
      <c r="V86" s="376"/>
      <c r="W86" s="376"/>
      <c r="X86" s="376"/>
    </row>
    <row r="87" spans="1:24" x14ac:dyDescent="0.25">
      <c r="A87" s="371">
        <v>1</v>
      </c>
      <c r="B87" s="371">
        <v>50</v>
      </c>
      <c r="C87" s="371">
        <v>25</v>
      </c>
      <c r="D87" s="371" t="str">
        <f>IF(ISNUMBER(SEARCH("Bobby Meadow",F87)),LEFT(F87,FIND(" ",F87)-1)&amp;"M",LEFT(F87,FIND(" ",F87)-1)&amp;MID(F87,FIND(" ",F87)+1,1))</f>
        <v>22025L</v>
      </c>
      <c r="E87" s="371" t="str">
        <f>IFERROR(IF(_xlfn.XMATCH(D87,'Rent Roll - RPM'!$B$3:$B$60,0,1)&gt;0,"Match","No Match"),"No Match")</f>
        <v>Match</v>
      </c>
      <c r="F87" s="371" t="s">
        <v>279</v>
      </c>
      <c r="G87" s="371" t="str">
        <f>_xlfn.XLOOKUP(D87,'Rent Roll - RPM'!$B$3:$B$60,'Rent Roll - RPM'!$D$3:$D$60,0)</f>
        <v>Rush, Cody</v>
      </c>
      <c r="I87" s="371" t="s">
        <v>280</v>
      </c>
      <c r="J87" s="371" t="s">
        <v>71</v>
      </c>
      <c r="K87" s="371" t="s">
        <v>342</v>
      </c>
      <c r="L87" s="378">
        <v>1909</v>
      </c>
      <c r="M87" s="371">
        <v>2</v>
      </c>
      <c r="N87" s="374" t="s">
        <v>205</v>
      </c>
      <c r="O87" s="374" t="s">
        <v>351</v>
      </c>
      <c r="P87" s="375">
        <f>_xlfn.XLOOKUP(D87,'Rent Roll - RPM'!$B$3:$B$60,'Rent Roll - RPM'!$Q$3:$Q$60,"")</f>
        <v>45961</v>
      </c>
      <c r="Q87" s="375">
        <f>_xlfn.XLOOKUP($D87,'Rent Roll - RPM'!$B$3:$B$60,'Rent Roll - RPM'!$R$3:$R$60,"")</f>
        <v>45962</v>
      </c>
      <c r="R87" s="375">
        <f>_xlfn.XLOOKUP(D87,'Rent Roll - RPM'!$B$3:$B$60,'Rent Roll - RPM'!$S$3:$S$60,"")</f>
        <v>46418</v>
      </c>
      <c r="S87" s="376">
        <v>3150</v>
      </c>
      <c r="T87" s="376">
        <f>S87/L87</f>
        <v>1.6500785751702463</v>
      </c>
      <c r="V87" s="376"/>
      <c r="W87" s="376"/>
      <c r="X87" s="376"/>
    </row>
    <row r="88" spans="1:24" x14ac:dyDescent="0.25">
      <c r="A88" s="371">
        <v>1</v>
      </c>
      <c r="B88" s="371">
        <v>34</v>
      </c>
      <c r="C88" s="371">
        <v>51</v>
      </c>
      <c r="D88" s="371" t="str">
        <f>IF(ISNUMBER(SEARCH("Bobby Meadow",F88)),LEFT(F88,FIND(" ",F88)-1)&amp;"M",LEFT(F88,FIND(" ",F88)-1)&amp;MID(F88,FIND(" ",F88)+1,1))</f>
        <v>21950M</v>
      </c>
      <c r="E88" s="371" t="str">
        <f>IFERROR(IF(_xlfn.XMATCH(D88,'Rent Roll - RPM'!$B$3:$B$60,0,1)&gt;0,"Match","No Match"),"No Match")</f>
        <v>Match</v>
      </c>
      <c r="F88" s="371" t="s">
        <v>291</v>
      </c>
      <c r="G88" s="371" t="str">
        <f>_xlfn.XLOOKUP(D88,'Rent Roll - RPM'!$B$3:$B$60,'Rent Roll - RPM'!$D$3:$D$60,0)</f>
        <v>Thomas, C Yvette</v>
      </c>
      <c r="I88" s="371" t="s">
        <v>354</v>
      </c>
      <c r="J88" s="371" t="s">
        <v>323</v>
      </c>
      <c r="K88" s="371" t="s">
        <v>350</v>
      </c>
      <c r="L88" s="377">
        <v>1425</v>
      </c>
      <c r="M88" s="371">
        <v>3</v>
      </c>
      <c r="N88" s="374" t="s">
        <v>205</v>
      </c>
      <c r="O88" s="374" t="s">
        <v>351</v>
      </c>
      <c r="P88" s="375">
        <f>_xlfn.XLOOKUP(D88,'Rent Roll - RPM'!$B$3:$B$60,'Rent Roll - RPM'!$Q$3:$Q$60,"")</f>
        <v>45961</v>
      </c>
      <c r="Q88" s="375">
        <f>_xlfn.XLOOKUP($D88,'Rent Roll - RPM'!$B$3:$B$60,'Rent Roll - RPM'!$R$3:$R$60,"")</f>
        <v>45999</v>
      </c>
      <c r="R88" s="375">
        <f>_xlfn.XLOOKUP(D88,'Rent Roll - RPM'!$B$3:$B$60,'Rent Roll - RPM'!$S$3:$S$60,"")</f>
        <v>46394</v>
      </c>
      <c r="S88" s="376">
        <v>2450</v>
      </c>
      <c r="T88" s="376">
        <f>S88/L88</f>
        <v>1.7192982456140351</v>
      </c>
      <c r="V88" s="376"/>
      <c r="W88" s="376"/>
      <c r="X88" s="376"/>
    </row>
    <row r="89" spans="1:24" x14ac:dyDescent="0.25">
      <c r="A89" s="371">
        <v>2</v>
      </c>
      <c r="B89" s="371">
        <v>14</v>
      </c>
      <c r="C89" s="371">
        <v>90</v>
      </c>
      <c r="D89" s="371" t="str">
        <f>IF(ISNUMBER(SEARCH("Bobby Meadow",F89)),LEFT(F89,FIND(" ",F89)-1)&amp;"M",LEFT(F89,FIND(" ",F89)-1)&amp;MID(F89,FIND(" ",F89)+1,1))</f>
        <v>7430H</v>
      </c>
      <c r="E89" s="371" t="str">
        <f>IFERROR(IF(_xlfn.XMATCH(D89,'Rent Roll - RPM'!$B$3:$B$60,0,1)&gt;0,"Match","No Match"),"No Match")</f>
        <v>Match</v>
      </c>
      <c r="F89" s="371" t="s">
        <v>301</v>
      </c>
      <c r="G89" s="371" t="str">
        <f>_xlfn.XLOOKUP(D89,'Rent Roll - RPM'!$B$3:$B$60,'Rent Roll - RPM'!$D$3:$D$60,0)</f>
        <v>Patel, Smit</v>
      </c>
      <c r="I89" s="371" t="s">
        <v>362</v>
      </c>
      <c r="J89" s="371" t="s">
        <v>22</v>
      </c>
      <c r="K89" s="371" t="s">
        <v>342</v>
      </c>
      <c r="L89" s="373">
        <v>1685</v>
      </c>
      <c r="M89" s="371">
        <v>5</v>
      </c>
      <c r="N89" s="374">
        <v>45991</v>
      </c>
      <c r="O89" s="374" t="s">
        <v>351</v>
      </c>
      <c r="P89" s="375">
        <f>_xlfn.XLOOKUP(D89,'Rent Roll - RPM'!$B$3:$B$60,'Rent Roll - RPM'!$Q$3:$Q$60,"")</f>
        <v>45950</v>
      </c>
      <c r="Q89" s="375">
        <f>_xlfn.XLOOKUP($D89,'Rent Roll - RPM'!$B$3:$B$60,'Rent Roll - RPM'!$R$3:$R$60,"")</f>
        <v>46029</v>
      </c>
      <c r="R89" s="375">
        <f>_xlfn.XLOOKUP(D89,'Rent Roll - RPM'!$B$3:$B$60,'Rent Roll - RPM'!$S$3:$S$60,"")</f>
        <v>46424</v>
      </c>
      <c r="S89" s="376">
        <v>2750</v>
      </c>
      <c r="T89" s="376">
        <f>S89/L89</f>
        <v>1.6320474777448071</v>
      </c>
      <c r="V89" s="376"/>
      <c r="W89" s="376"/>
      <c r="X89" s="376"/>
    </row>
    <row r="90" spans="1:24" x14ac:dyDescent="0.25">
      <c r="A90" s="371">
        <v>1</v>
      </c>
      <c r="B90" s="371">
        <v>19</v>
      </c>
      <c r="C90" s="371">
        <v>85</v>
      </c>
      <c r="D90" s="371" t="str">
        <f>IF(ISNUMBER(SEARCH("Bobby Meadow",F90)),LEFT(F90,FIND(" ",F90)-1)&amp;"M",LEFT(F90,FIND(" ",F90)-1)&amp;MID(F90,FIND(" ",F90)+1,1))</f>
        <v>7419H</v>
      </c>
      <c r="E90" s="371" t="str">
        <f>IFERROR(IF(_xlfn.XMATCH(D90,'Rent Roll - RPM'!$B$3:$B$60,0,1)&gt;0,"Match","No Match"),"No Match")</f>
        <v>Match</v>
      </c>
      <c r="F90" s="371" t="s">
        <v>364</v>
      </c>
      <c r="G90" s="371" t="str">
        <f>_xlfn.XLOOKUP(D90,'Rent Roll - RPM'!$B$3:$B$60,'Rent Roll - RPM'!$D$3:$D$60,0)</f>
        <v>Anjum, Sami</v>
      </c>
      <c r="I90" s="371" t="s">
        <v>362</v>
      </c>
      <c r="J90" s="371" t="s">
        <v>22</v>
      </c>
      <c r="K90" s="371" t="s">
        <v>342</v>
      </c>
      <c r="L90" s="373">
        <v>1685</v>
      </c>
      <c r="M90" s="371">
        <v>5</v>
      </c>
      <c r="N90" s="374">
        <v>45991</v>
      </c>
      <c r="O90" s="374" t="s">
        <v>351</v>
      </c>
      <c r="P90" s="375">
        <f>_xlfn.XLOOKUP(D90,'Rent Roll - RPM'!$B$3:$B$60,'Rent Roll - RPM'!$Q$3:$Q$60,"")</f>
        <v>45950</v>
      </c>
      <c r="Q90" s="375">
        <f>_xlfn.XLOOKUP($D90,'Rent Roll - RPM'!$B$3:$B$60,'Rent Roll - RPM'!$R$3:$R$60,"")</f>
        <v>46029</v>
      </c>
      <c r="R90" s="375">
        <f>_xlfn.XLOOKUP(D90,'Rent Roll - RPM'!$B$3:$B$60,'Rent Roll - RPM'!$S$3:$S$60,"")</f>
        <v>46483</v>
      </c>
      <c r="S90" s="376">
        <v>2750</v>
      </c>
      <c r="T90" s="376">
        <f>S90/L90</f>
        <v>1.6320474777448071</v>
      </c>
      <c r="V90" s="376"/>
      <c r="W90" s="376"/>
      <c r="X90" s="376"/>
    </row>
    <row r="91" spans="1:24" x14ac:dyDescent="0.25">
      <c r="A91" s="371">
        <v>1</v>
      </c>
      <c r="B91" s="371">
        <v>26</v>
      </c>
      <c r="C91" s="371">
        <v>79</v>
      </c>
      <c r="D91" s="371" t="str">
        <f>IF(ISNUMBER(SEARCH("Bobby Meadow",F91)),LEFT(F91,FIND(" ",F91)-1)&amp;"M",LEFT(F91,FIND(" ",F91)-1)&amp;MID(F91,FIND(" ",F91)+1,1))</f>
        <v>21915M</v>
      </c>
      <c r="E91" s="371" t="str">
        <f>IFERROR(IF(_xlfn.XMATCH(D91,'Rent Roll - RPM'!$B$3:$B$60,0,1)&gt;0,"Match","No Match"),"No Match")</f>
        <v>Match</v>
      </c>
      <c r="F91" s="371" t="s">
        <v>287</v>
      </c>
      <c r="G91" s="371" t="str">
        <f>_xlfn.XLOOKUP(D91,'Rent Roll - RPM'!$B$3:$B$60,'Rent Roll - RPM'!$D$3:$D$60,0)</f>
        <v>Hockaday, Gordon</v>
      </c>
      <c r="I91" s="371" t="s">
        <v>354</v>
      </c>
      <c r="J91" s="371" t="s">
        <v>323</v>
      </c>
      <c r="K91" s="371" t="s">
        <v>350</v>
      </c>
      <c r="L91" s="377">
        <v>1425</v>
      </c>
      <c r="M91" s="371">
        <v>5</v>
      </c>
      <c r="N91" s="374">
        <v>45991</v>
      </c>
      <c r="O91" s="374" t="s">
        <v>351</v>
      </c>
      <c r="P91" s="375">
        <f>_xlfn.XLOOKUP(D91,'Rent Roll - RPM'!$B$3:$B$60,'Rent Roll - RPM'!$Q$3:$Q$60,"")</f>
        <v>45950</v>
      </c>
      <c r="Q91" s="375">
        <f>_xlfn.XLOOKUP($D91,'Rent Roll - RPM'!$B$3:$B$60,'Rent Roll - RPM'!$R$3:$R$60,"")</f>
        <v>45993</v>
      </c>
      <c r="R91" s="375">
        <f>_xlfn.XLOOKUP(D91,'Rent Roll - RPM'!$B$3:$B$60,'Rent Roll - RPM'!$S$3:$S$60,"")</f>
        <v>46447</v>
      </c>
      <c r="S91" s="376">
        <v>2450</v>
      </c>
      <c r="T91" s="376">
        <f>S91/L91</f>
        <v>1.7192982456140351</v>
      </c>
      <c r="V91" s="376"/>
      <c r="W91" s="376"/>
      <c r="X91" s="376"/>
    </row>
    <row r="92" spans="1:24" x14ac:dyDescent="0.25">
      <c r="A92" s="371">
        <v>1</v>
      </c>
      <c r="B92" s="371">
        <v>56</v>
      </c>
      <c r="C92" s="371">
        <v>12</v>
      </c>
      <c r="D92" s="371" t="str">
        <f>IF(ISNUMBER(SEARCH("Bobby Meadow",F92)),LEFT(F92,FIND(" ",F92)-1)&amp;"M",LEFT(F92,FIND(" ",F92)-1)&amp;MID(F92,FIND(" ",F92)+1,1))</f>
        <v>22046F</v>
      </c>
      <c r="E92" s="371" t="str">
        <f>IFERROR(IF(_xlfn.XMATCH(D92,'Rent Roll - RPM'!$B$3:$B$60,0,1)&gt;0,"Match","No Match"),"No Match")</f>
        <v>Match</v>
      </c>
      <c r="F92" s="371" t="s">
        <v>282</v>
      </c>
      <c r="G92" s="371" t="str">
        <f>_xlfn.XLOOKUP(D92,'Rent Roll - RPM'!$B$3:$B$60,'Rent Roll - RPM'!$D$3:$D$60,0)</f>
        <v>Rivera, Jasmine</v>
      </c>
      <c r="I92" s="371" t="s">
        <v>344</v>
      </c>
      <c r="J92" s="371" t="s">
        <v>22</v>
      </c>
      <c r="K92" s="371" t="s">
        <v>342</v>
      </c>
      <c r="L92" s="373">
        <v>1685</v>
      </c>
      <c r="M92" s="371">
        <v>1</v>
      </c>
      <c r="N92" s="374" t="s">
        <v>205</v>
      </c>
      <c r="O92" s="374" t="s">
        <v>351</v>
      </c>
      <c r="P92" s="375">
        <f>_xlfn.XLOOKUP(D92,'Rent Roll - RPM'!$B$3:$B$60,'Rent Roll - RPM'!$Q$3:$Q$60,"")</f>
        <v>45948</v>
      </c>
      <c r="Q92" s="375">
        <f>_xlfn.XLOOKUP($D92,'Rent Roll - RPM'!$B$3:$B$60,'Rent Roll - RPM'!$R$3:$R$60,"")</f>
        <v>45985</v>
      </c>
      <c r="R92" s="375">
        <f>_xlfn.XLOOKUP(D92,'Rent Roll - RPM'!$B$3:$B$60,'Rent Roll - RPM'!$S$3:$S$60,"")</f>
        <v>46379</v>
      </c>
      <c r="S92" s="376">
        <v>2750</v>
      </c>
      <c r="T92" s="376">
        <f>S92/L92</f>
        <v>1.6320474777448071</v>
      </c>
      <c r="V92" s="376"/>
      <c r="W92" s="376"/>
      <c r="X92" s="376"/>
    </row>
    <row r="93" spans="1:24" x14ac:dyDescent="0.25">
      <c r="A93" s="371">
        <v>1</v>
      </c>
      <c r="B93" s="371">
        <v>33</v>
      </c>
      <c r="C93" s="371">
        <v>52</v>
      </c>
      <c r="D93" s="371" t="str">
        <f>IF(ISNUMBER(SEARCH("Bobby Meadow",F93)),LEFT(F93,FIND(" ",F93)-1)&amp;"M",LEFT(F93,FIND(" ",F93)-1)&amp;MID(F93,FIND(" ",F93)+1,1))</f>
        <v>21954M</v>
      </c>
      <c r="E93" s="371" t="str">
        <f>IFERROR(IF(_xlfn.XMATCH(D93,'Rent Roll - RPM'!$B$3:$B$60,0,1)&gt;0,"Match","No Match"),"No Match")</f>
        <v>Match</v>
      </c>
      <c r="F93" s="371" t="s">
        <v>372</v>
      </c>
      <c r="G93" s="371" t="str">
        <f>_xlfn.XLOOKUP(D93,'Rent Roll - RPM'!$B$3:$B$60,'Rent Roll - RPM'!$D$3:$D$60,0)</f>
        <v>Nwabuko, Nnenna</v>
      </c>
      <c r="I93" s="371" t="s">
        <v>362</v>
      </c>
      <c r="J93" s="371" t="s">
        <v>22</v>
      </c>
      <c r="K93" s="371" t="s">
        <v>342</v>
      </c>
      <c r="L93" s="373">
        <v>1685</v>
      </c>
      <c r="M93" s="371">
        <v>3</v>
      </c>
      <c r="N93" s="374" t="s">
        <v>205</v>
      </c>
      <c r="O93" s="374" t="s">
        <v>351</v>
      </c>
      <c r="P93" s="375">
        <f>_xlfn.XLOOKUP(D93,'Rent Roll - RPM'!$B$3:$B$60,'Rent Roll - RPM'!$Q$3:$Q$60,"")</f>
        <v>45943</v>
      </c>
      <c r="Q93" s="375">
        <f>_xlfn.XLOOKUP($D93,'Rent Roll - RPM'!$B$3:$B$60,'Rent Roll - RPM'!$R$3:$R$60,"")</f>
        <v>45965</v>
      </c>
      <c r="R93" s="375">
        <f>_xlfn.XLOOKUP(D93,'Rent Roll - RPM'!$B$3:$B$60,'Rent Roll - RPM'!$S$3:$S$60,"")</f>
        <v>46359</v>
      </c>
      <c r="S93" s="376">
        <v>2750</v>
      </c>
      <c r="T93" s="376">
        <f>S93/L93</f>
        <v>1.6320474777448071</v>
      </c>
      <c r="V93" s="376"/>
      <c r="W93" s="376"/>
      <c r="X93" s="376"/>
    </row>
    <row r="94" spans="1:24" x14ac:dyDescent="0.25">
      <c r="A94" s="371">
        <v>1</v>
      </c>
      <c r="B94" s="371">
        <v>1</v>
      </c>
      <c r="C94" s="371">
        <v>111</v>
      </c>
      <c r="D94" s="371" t="str">
        <f>IF(ISNUMBER(SEARCH("Bobby Meadow",F94)),LEFT(F94,FIND(" ",F94)-1)&amp;"M",LEFT(F94,FIND(" ",F94)-1)&amp;MID(F94,FIND(" ",F94)+1,1))</f>
        <v>21914F</v>
      </c>
      <c r="E94" s="371" t="str">
        <f>IFERROR(IF(_xlfn.XMATCH(D94,'Rent Roll - RPM'!$B$3:$B$60,0,1)&gt;0,"Match","No Match"),"No Match")</f>
        <v>Match</v>
      </c>
      <c r="F94" s="371" t="s">
        <v>231</v>
      </c>
      <c r="G94" s="371" t="str">
        <f>_xlfn.XLOOKUP(D94,'Rent Roll - RPM'!$B$3:$B$60,'Rent Roll - RPM'!$D$3:$D$60,0)</f>
        <v>Smith, Audrey</v>
      </c>
      <c r="I94" s="371" t="s">
        <v>354</v>
      </c>
      <c r="J94" s="371" t="s">
        <v>323</v>
      </c>
      <c r="K94" s="371" t="s">
        <v>350</v>
      </c>
      <c r="L94" s="377">
        <v>1425</v>
      </c>
      <c r="M94" s="371">
        <v>6</v>
      </c>
      <c r="N94" s="374">
        <v>46006</v>
      </c>
      <c r="O94" s="374" t="s">
        <v>351</v>
      </c>
      <c r="P94" s="375">
        <f>_xlfn.XLOOKUP(D94,'Rent Roll - RPM'!$B$3:$B$60,'Rent Roll - RPM'!$Q$3:$Q$60,"")</f>
        <v>45943</v>
      </c>
      <c r="Q94" s="375">
        <f>_xlfn.XLOOKUP($D94,'Rent Roll - RPM'!$B$3:$B$60,'Rent Roll - RPM'!$R$3:$R$60,"")</f>
        <v>46066</v>
      </c>
      <c r="R94" s="375">
        <f>_xlfn.XLOOKUP(D94,'Rent Roll - RPM'!$B$3:$B$60,'Rent Roll - RPM'!$S$3:$S$60,"")</f>
        <v>46458</v>
      </c>
      <c r="S94" s="376">
        <v>2450</v>
      </c>
      <c r="T94" s="376">
        <f>S94/L94</f>
        <v>1.7192982456140351</v>
      </c>
      <c r="V94" s="376"/>
      <c r="W94" s="376"/>
      <c r="X94" s="376"/>
    </row>
    <row r="95" spans="1:24" x14ac:dyDescent="0.25">
      <c r="A95" s="371">
        <v>1</v>
      </c>
      <c r="B95" s="371">
        <v>35</v>
      </c>
      <c r="C95" s="371">
        <v>50</v>
      </c>
      <c r="D95" s="371" t="str">
        <f>IF(ISNUMBER(SEARCH("Bobby Meadow",F95)),LEFT(F95,FIND(" ",F95)-1)&amp;"M",LEFT(F95,FIND(" ",F95)-1)&amp;MID(F95,FIND(" ",F95)+1,1))</f>
        <v>21946M</v>
      </c>
      <c r="E95" s="371" t="str">
        <f>IFERROR(IF(_xlfn.XMATCH(D95,'Rent Roll - RPM'!$B$3:$B$60,0,1)&gt;0,"Match","No Match"),"No Match")</f>
        <v>Match</v>
      </c>
      <c r="F95" s="371" t="s">
        <v>373</v>
      </c>
      <c r="G95" s="371" t="str">
        <f>_xlfn.XLOOKUP(D95,'Rent Roll - RPM'!$B$3:$B$60,'Rent Roll - RPM'!$D$3:$D$60,0)</f>
        <v>Odom, Clayton</v>
      </c>
      <c r="I95" s="371" t="s">
        <v>374</v>
      </c>
      <c r="J95" s="371" t="s">
        <v>323</v>
      </c>
      <c r="K95" s="371" t="s">
        <v>350</v>
      </c>
      <c r="L95" s="377">
        <v>1425</v>
      </c>
      <c r="M95" s="371">
        <v>3</v>
      </c>
      <c r="N95" s="374" t="s">
        <v>205</v>
      </c>
      <c r="O95" s="374" t="s">
        <v>351</v>
      </c>
      <c r="P95" s="375">
        <f>_xlfn.XLOOKUP(D95,'Rent Roll - RPM'!$B$3:$B$60,'Rent Roll - RPM'!$Q$3:$Q$60,"")</f>
        <v>45916</v>
      </c>
      <c r="Q95" s="375">
        <f>_xlfn.XLOOKUP($D95,'Rent Roll - RPM'!$B$3:$B$60,'Rent Roll - RPM'!$R$3:$R$60,"")</f>
        <v>45916</v>
      </c>
      <c r="R95" s="375">
        <f>_xlfn.XLOOKUP(D95,'Rent Roll - RPM'!$B$3:$B$60,'Rent Roll - RPM'!$S$3:$S$60,"")</f>
        <v>46371</v>
      </c>
      <c r="S95" s="376">
        <v>2450</v>
      </c>
      <c r="T95" s="376">
        <f>S95/L95</f>
        <v>1.7192982456140351</v>
      </c>
      <c r="V95" s="376"/>
      <c r="W95" s="376"/>
      <c r="X95" s="376"/>
    </row>
    <row r="96" spans="1:24" x14ac:dyDescent="0.25">
      <c r="A96" s="371">
        <v>1</v>
      </c>
      <c r="B96" s="371">
        <v>2</v>
      </c>
      <c r="C96" s="371">
        <v>110</v>
      </c>
      <c r="D96" s="371" t="str">
        <f>IF(ISNUMBER(SEARCH("Bobby Meadow",F96)),LEFT(F96,FIND(" ",F96)-1)&amp;"M",LEFT(F96,FIND(" ",F96)-1)&amp;MID(F96,FIND(" ",F96)+1,1))</f>
        <v>21910F</v>
      </c>
      <c r="E96" s="371" t="str">
        <f>IFERROR(IF(_xlfn.XMATCH(D96,'Rent Roll - RPM'!$B$3:$B$60,0,1)&gt;0,"Match","No Match"),"No Match")</f>
        <v>Match</v>
      </c>
      <c r="F96" s="371" t="s">
        <v>370</v>
      </c>
      <c r="G96" s="371" t="str">
        <f>_xlfn.XLOOKUP(D96,'Rent Roll - RPM'!$B$3:$B$60,'Rent Roll - RPM'!$D$3:$D$60,0)</f>
        <v>Calle, Natalia</v>
      </c>
      <c r="I96" s="371" t="s">
        <v>371</v>
      </c>
      <c r="J96" s="371" t="s">
        <v>65</v>
      </c>
      <c r="K96" s="371" t="s">
        <v>350</v>
      </c>
      <c r="L96" s="373">
        <v>1635</v>
      </c>
      <c r="M96" s="371">
        <v>6</v>
      </c>
      <c r="N96" s="374">
        <v>46006</v>
      </c>
      <c r="O96" s="374" t="s">
        <v>351</v>
      </c>
      <c r="P96" s="375">
        <f>_xlfn.XLOOKUP(D96,'Rent Roll - RPM'!$B$3:$B$60,'Rent Roll - RPM'!$Q$3:$Q$60,"")</f>
        <v>45884</v>
      </c>
      <c r="Q96" s="375">
        <f>_xlfn.XLOOKUP($D96,'Rent Roll - RPM'!$B$3:$B$60,'Rent Roll - RPM'!$R$3:$R$60,"")</f>
        <v>45987</v>
      </c>
      <c r="R96" s="375">
        <f>_xlfn.XLOOKUP(D96,'Rent Roll - RPM'!$B$3:$B$60,'Rent Roll - RPM'!$S$3:$S$60,"")</f>
        <v>46443</v>
      </c>
      <c r="S96" s="376">
        <v>2650</v>
      </c>
      <c r="T96" s="376">
        <f>S96/L96</f>
        <v>1.620795107033639</v>
      </c>
      <c r="V96" s="376"/>
      <c r="W96" s="376"/>
      <c r="X96" s="376"/>
    </row>
    <row r="97" spans="1:24" x14ac:dyDescent="0.25">
      <c r="A97" s="371">
        <v>3</v>
      </c>
      <c r="B97" s="371">
        <v>4</v>
      </c>
      <c r="C97" s="371">
        <v>17</v>
      </c>
      <c r="D97" s="371" t="str">
        <f>IF(ISNUMBER(SEARCH("Bobby Meadow",F97)),LEFT(F97,FIND(" ",F97)-1)&amp;"M",LEFT(F97,FIND(" ",F97)-1)&amp;MID(F97,FIND(" ",F97)+1,1))</f>
        <v>22023F</v>
      </c>
      <c r="E97" s="371" t="str">
        <f>IFERROR(IF(_xlfn.XMATCH(D97,'Rent Roll - RPM'!$B$3:$B$60,0,1)&gt;0,"Match","No Match"),"No Match")</f>
        <v>Match</v>
      </c>
      <c r="F97" s="371" t="s">
        <v>263</v>
      </c>
      <c r="G97" s="371" t="str">
        <f>_xlfn.XLOOKUP(D97,'Rent Roll - RPM'!$B$3:$B$60,'Rent Roll - RPM'!$D$3:$D$60,0)</f>
        <v>Adewumi, Omolara</v>
      </c>
      <c r="I97" s="371" t="s">
        <v>379</v>
      </c>
      <c r="J97" s="371" t="s">
        <v>69</v>
      </c>
      <c r="K97" s="371" t="s">
        <v>342</v>
      </c>
      <c r="L97" s="373">
        <v>1852</v>
      </c>
      <c r="M97" s="371">
        <v>1</v>
      </c>
      <c r="N97" s="374" t="s">
        <v>205</v>
      </c>
      <c r="O97" s="374" t="s">
        <v>351</v>
      </c>
      <c r="P97" s="375">
        <f>_xlfn.XLOOKUP(D97,'Rent Roll - RPM'!$B$3:$B$60,'Rent Roll - RPM'!$Q$3:$Q$60,"")</f>
        <v>45862</v>
      </c>
      <c r="Q97" s="375">
        <f>_xlfn.XLOOKUP($D97,'Rent Roll - RPM'!$B$3:$B$60,'Rent Roll - RPM'!$R$3:$R$60,"")</f>
        <v>45863</v>
      </c>
      <c r="R97" s="375">
        <f>_xlfn.XLOOKUP(D97,'Rent Roll - RPM'!$B$3:$B$60,'Rent Roll - RPM'!$S$3:$S$60,"")</f>
        <v>46258</v>
      </c>
      <c r="S97" s="376">
        <v>2950</v>
      </c>
      <c r="T97" s="376">
        <f>S97/L97</f>
        <v>1.5928725701943844</v>
      </c>
      <c r="V97" s="376"/>
      <c r="W97" s="376"/>
      <c r="X97" s="376"/>
    </row>
    <row r="98" spans="1:24" x14ac:dyDescent="0.25">
      <c r="A98" s="371">
        <v>1</v>
      </c>
      <c r="B98" s="371">
        <v>52</v>
      </c>
      <c r="C98" s="371">
        <v>23</v>
      </c>
      <c r="D98" s="371" t="str">
        <f>IF(ISNUMBER(SEARCH("Bobby Meadow",F98)),LEFT(F98,FIND(" ",F98)-1)&amp;"M",LEFT(F98,FIND(" ",F98)-1)&amp;MID(F98,FIND(" ",F98)+1,1))</f>
        <v>22033L</v>
      </c>
      <c r="E98" s="371" t="str">
        <f>IFERROR(IF(_xlfn.XMATCH(D98,'Rent Roll - RPM'!$B$3:$B$60,0,1)&gt;0,"Match","No Match"),"No Match")</f>
        <v>Match</v>
      </c>
      <c r="F98" s="371" t="s">
        <v>378</v>
      </c>
      <c r="G98" s="371" t="str">
        <f>_xlfn.XLOOKUP(D98,'Rent Roll - RPM'!$B$3:$B$60,'Rent Roll - RPM'!$D$3:$D$60,0)</f>
        <v>Ciftci, Irmak</v>
      </c>
      <c r="I98" s="371" t="s">
        <v>354</v>
      </c>
      <c r="J98" s="371" t="s">
        <v>323</v>
      </c>
      <c r="K98" s="371" t="s">
        <v>350</v>
      </c>
      <c r="L98" s="377">
        <v>1425</v>
      </c>
      <c r="M98" s="371">
        <v>2</v>
      </c>
      <c r="N98" s="374" t="s">
        <v>205</v>
      </c>
      <c r="O98" s="374" t="s">
        <v>351</v>
      </c>
      <c r="P98" s="375">
        <f>_xlfn.XLOOKUP(D98,'Rent Roll - RPM'!$B$3:$B$60,'Rent Roll - RPM'!$Q$3:$Q$60,"")</f>
        <v>45856</v>
      </c>
      <c r="Q98" s="375">
        <f>_xlfn.XLOOKUP($D98,'Rent Roll - RPM'!$B$3:$B$60,'Rent Roll - RPM'!$R$3:$R$60,"")</f>
        <v>45870</v>
      </c>
      <c r="R98" s="375">
        <f>_xlfn.XLOOKUP(D98,'Rent Roll - RPM'!$B$3:$B$60,'Rent Roll - RPM'!$S$3:$S$60,"")</f>
        <v>46265</v>
      </c>
      <c r="S98" s="376">
        <v>2450</v>
      </c>
      <c r="T98" s="376">
        <f>S98/L98</f>
        <v>1.7192982456140351</v>
      </c>
      <c r="V98" s="376"/>
      <c r="W98" s="376"/>
      <c r="X98" s="376"/>
    </row>
    <row r="99" spans="1:24" x14ac:dyDescent="0.25">
      <c r="A99" s="371">
        <v>1</v>
      </c>
      <c r="B99" s="371">
        <v>45</v>
      </c>
      <c r="C99" s="371">
        <v>30</v>
      </c>
      <c r="D99" s="371" t="str">
        <f>IF(ISNUMBER(SEARCH("Bobby Meadow",F99)),LEFT(F99,FIND(" ",F99)-1)&amp;"M",LEFT(F99,FIND(" ",F99)-1)&amp;MID(F99,FIND(" ",F99)+1,1))</f>
        <v>22005L</v>
      </c>
      <c r="E99" s="371" t="str">
        <f>IFERROR(IF(_xlfn.XMATCH(D99,'Rent Roll - RPM'!$B$3:$B$60,0,1)&gt;0,"Match","No Match"),"No Match")</f>
        <v>Match</v>
      </c>
      <c r="F99" s="371" t="s">
        <v>376</v>
      </c>
      <c r="G99" s="371" t="str">
        <f>_xlfn.XLOOKUP(D99,'Rent Roll - RPM'!$B$3:$B$60,'Rent Roll - RPM'!$D$3:$D$60,0)</f>
        <v>Martinez, Melinda</v>
      </c>
      <c r="I99" s="371" t="s">
        <v>377</v>
      </c>
      <c r="J99" s="371" t="s">
        <v>71</v>
      </c>
      <c r="K99" s="371" t="s">
        <v>342</v>
      </c>
      <c r="L99" s="378">
        <v>1909</v>
      </c>
      <c r="M99" s="371">
        <v>2</v>
      </c>
      <c r="N99" s="374" t="s">
        <v>205</v>
      </c>
      <c r="O99" s="374" t="s">
        <v>351</v>
      </c>
      <c r="P99" s="375">
        <f>_xlfn.XLOOKUP(D99,'Rent Roll - RPM'!$B$3:$B$60,'Rent Roll - RPM'!$Q$3:$Q$60,"")</f>
        <v>45856</v>
      </c>
      <c r="Q99" s="375">
        <f>_xlfn.XLOOKUP($D99,'Rent Roll - RPM'!$B$3:$B$60,'Rent Roll - RPM'!$R$3:$R$60,"")</f>
        <v>45874</v>
      </c>
      <c r="R99" s="375">
        <f>_xlfn.XLOOKUP(D99,'Rent Roll - RPM'!$B$3:$B$60,'Rent Roll - RPM'!$S$3:$S$60,"")</f>
        <v>46269</v>
      </c>
      <c r="S99" s="376">
        <v>3150</v>
      </c>
      <c r="T99" s="376">
        <f>S99/L99</f>
        <v>1.6500785751702463</v>
      </c>
      <c r="V99" s="376"/>
      <c r="W99" s="376"/>
      <c r="X99" s="376"/>
    </row>
    <row r="100" spans="1:24" x14ac:dyDescent="0.25">
      <c r="A100" s="371">
        <v>1</v>
      </c>
      <c r="B100" s="371">
        <v>32</v>
      </c>
      <c r="C100" s="371">
        <v>53</v>
      </c>
      <c r="D100" s="371" t="str">
        <f>IF(ISNUMBER(SEARCH("Bobby Meadow",F100)),LEFT(F100,FIND(" ",F100)-1)&amp;"M",LEFT(F100,FIND(" ",F100)-1)&amp;MID(F100,FIND(" ",F100)+1,1))</f>
        <v>21939M</v>
      </c>
      <c r="E100" s="371" t="str">
        <f>IFERROR(IF(_xlfn.XMATCH(D100,'Rent Roll - RPM'!$B$3:$B$60,0,1)&gt;0,"Match","No Match"),"No Match")</f>
        <v>Match</v>
      </c>
      <c r="F100" s="371" t="s">
        <v>276</v>
      </c>
      <c r="G100" s="371" t="str">
        <f>_xlfn.XLOOKUP(D100,'Rent Roll - RPM'!$B$3:$B$60,'Rent Roll - RPM'!$D$3:$D$60,0)</f>
        <v>Cheeks, Sharonda</v>
      </c>
      <c r="I100" s="371" t="s">
        <v>341</v>
      </c>
      <c r="J100" s="371" t="s">
        <v>22</v>
      </c>
      <c r="K100" s="371" t="s">
        <v>342</v>
      </c>
      <c r="L100" s="373">
        <v>1685</v>
      </c>
      <c r="M100" s="371">
        <v>3</v>
      </c>
      <c r="N100" s="374" t="s">
        <v>205</v>
      </c>
      <c r="O100" s="374" t="s">
        <v>351</v>
      </c>
      <c r="P100" s="375">
        <f>_xlfn.XLOOKUP(D100,'Rent Roll - RPM'!$B$3:$B$60,'Rent Roll - RPM'!$Q$3:$Q$60,"")</f>
        <v>45856</v>
      </c>
      <c r="Q100" s="375">
        <f>_xlfn.XLOOKUP($D100,'Rent Roll - RPM'!$B$3:$B$60,'Rent Roll - RPM'!$R$3:$R$60,"")</f>
        <v>45941</v>
      </c>
      <c r="R100" s="375">
        <f>_xlfn.XLOOKUP(D100,'Rent Roll - RPM'!$B$3:$B$60,'Rent Roll - RPM'!$S$3:$S$60,"")</f>
        <v>46366</v>
      </c>
      <c r="S100" s="376">
        <v>2750</v>
      </c>
      <c r="T100" s="376">
        <f>S100/L100</f>
        <v>1.6320474777448071</v>
      </c>
      <c r="V100" s="376"/>
      <c r="W100" s="376"/>
      <c r="X100" s="376"/>
    </row>
    <row r="101" spans="1:24" x14ac:dyDescent="0.25">
      <c r="A101" s="371">
        <v>1</v>
      </c>
      <c r="B101" s="371">
        <v>58</v>
      </c>
      <c r="C101" s="371">
        <v>10</v>
      </c>
      <c r="D101" s="371" t="str">
        <f>IF(ISNUMBER(SEARCH("Bobby Meadow",F101)),LEFT(F101,FIND(" ",F101)-1)&amp;"M",LEFT(F101,FIND(" ",F101)-1)&amp;MID(F101,FIND(" ",F101)+1,1))</f>
        <v>22038F</v>
      </c>
      <c r="E101" s="371" t="str">
        <f>IFERROR(IF(_xlfn.XMATCH(D101,'Rent Roll - RPM'!$B$3:$B$60,0,1)&gt;0,"Match","No Match"),"No Match")</f>
        <v>Match</v>
      </c>
      <c r="F101" s="371" t="s">
        <v>381</v>
      </c>
      <c r="G101" s="371" t="str">
        <f>_xlfn.XLOOKUP(D101,'Rent Roll - RPM'!$B$3:$B$60,'Rent Roll - RPM'!$D$3:$D$60,0)</f>
        <v>Ojediran, Olunife</v>
      </c>
      <c r="I101" s="371" t="s">
        <v>354</v>
      </c>
      <c r="J101" s="371" t="s">
        <v>323</v>
      </c>
      <c r="K101" s="371" t="s">
        <v>350</v>
      </c>
      <c r="L101" s="377">
        <v>1425</v>
      </c>
      <c r="M101" s="371">
        <v>1</v>
      </c>
      <c r="N101" s="374" t="s">
        <v>205</v>
      </c>
      <c r="O101" s="374" t="s">
        <v>351</v>
      </c>
      <c r="P101" s="375">
        <f>_xlfn.XLOOKUP(D101,'Rent Roll - RPM'!$B$3:$B$60,'Rent Roll - RPM'!$Q$3:$Q$60,"")</f>
        <v>45854</v>
      </c>
      <c r="Q101" s="375">
        <f>_xlfn.XLOOKUP($D101,'Rent Roll - RPM'!$B$3:$B$60,'Rent Roll - RPM'!$R$3:$R$60,"")</f>
        <v>45856</v>
      </c>
      <c r="R101" s="375">
        <f>_xlfn.XLOOKUP(D101,'Rent Roll - RPM'!$B$3:$B$60,'Rent Roll - RPM'!$S$3:$S$60,"")</f>
        <v>46312</v>
      </c>
      <c r="S101" s="376">
        <v>2450</v>
      </c>
      <c r="T101" s="376">
        <f>S101/L101</f>
        <v>1.7192982456140351</v>
      </c>
      <c r="V101" s="376"/>
      <c r="W101" s="376"/>
      <c r="X101" s="376"/>
    </row>
    <row r="102" spans="1:24" x14ac:dyDescent="0.25">
      <c r="A102" s="371">
        <v>3</v>
      </c>
      <c r="B102" s="371">
        <v>5</v>
      </c>
      <c r="C102" s="371">
        <v>18</v>
      </c>
      <c r="D102" s="371" t="str">
        <f>IF(ISNUMBER(SEARCH("Bobby Meadow",F102)),LEFT(F102,FIND(" ",F102)-1)&amp;"M",LEFT(F102,FIND(" ",F102)-1)&amp;MID(F102,FIND(" ",F102)+1,1))</f>
        <v>22027F</v>
      </c>
      <c r="E102" s="371" t="str">
        <f>IFERROR(IF(_xlfn.XMATCH(D102,'Rent Roll - RPM'!$B$3:$B$60,0,1)&gt;0,"Match","No Match"),"No Match")</f>
        <v>Match</v>
      </c>
      <c r="F102" s="371" t="s">
        <v>256</v>
      </c>
      <c r="G102" s="371" t="str">
        <f>_xlfn.XLOOKUP(D102,'Rent Roll - RPM'!$B$3:$B$60,'Rent Roll - RPM'!$D$3:$D$60,0)</f>
        <v>Egunjobi, Ransome</v>
      </c>
      <c r="I102" s="371" t="s">
        <v>362</v>
      </c>
      <c r="J102" s="371" t="s">
        <v>22</v>
      </c>
      <c r="K102" s="371" t="s">
        <v>342</v>
      </c>
      <c r="L102" s="373">
        <v>1685</v>
      </c>
      <c r="M102" s="371">
        <v>1</v>
      </c>
      <c r="N102" s="374" t="s">
        <v>205</v>
      </c>
      <c r="O102" s="374" t="s">
        <v>351</v>
      </c>
      <c r="P102" s="375">
        <f>_xlfn.XLOOKUP(D102,'Rent Roll - RPM'!$B$3:$B$60,'Rent Roll - RPM'!$Q$3:$Q$60,"")</f>
        <v>45838</v>
      </c>
      <c r="Q102" s="375">
        <f>_xlfn.XLOOKUP($D102,'Rent Roll - RPM'!$B$3:$B$60,'Rent Roll - RPM'!$R$3:$R$60,"")</f>
        <v>45839</v>
      </c>
      <c r="R102" s="375">
        <f>_xlfn.XLOOKUP(D102,'Rent Roll - RPM'!$B$3:$B$60,'Rent Roll - RPM'!$S$3:$S$60,"")</f>
        <v>46234</v>
      </c>
      <c r="S102" s="376">
        <v>2750</v>
      </c>
      <c r="T102" s="376">
        <f>S102/L102</f>
        <v>1.6320474777448071</v>
      </c>
      <c r="V102" s="376"/>
      <c r="W102" s="376"/>
      <c r="X102" s="376"/>
    </row>
    <row r="103" spans="1:24" x14ac:dyDescent="0.25">
      <c r="A103" s="371">
        <v>1</v>
      </c>
      <c r="B103" s="371">
        <v>59</v>
      </c>
      <c r="C103" s="371">
        <v>9</v>
      </c>
      <c r="D103" s="371" t="str">
        <f>IF(ISNUMBER(SEARCH("Bobby Meadow",F103)),LEFT(F103,FIND(" ",F103)-1)&amp;"M",LEFT(F103,FIND(" ",F103)-1)&amp;MID(F103,FIND(" ",F103)+1,1))</f>
        <v>22034F</v>
      </c>
      <c r="E103" s="371" t="str">
        <f>IFERROR(IF(_xlfn.XMATCH(D103,'Rent Roll - RPM'!$B$3:$B$60,0,1)&gt;0,"Match","No Match"),"No Match")</f>
        <v>Match</v>
      </c>
      <c r="F103" s="371" t="s">
        <v>253</v>
      </c>
      <c r="G103" s="371" t="str">
        <f>_xlfn.XLOOKUP(D103,'Rent Roll - RPM'!$B$3:$B$60,'Rent Roll - RPM'!$D$3:$D$60,0)</f>
        <v>Maynard, Joseph</v>
      </c>
      <c r="I103" s="371" t="s">
        <v>374</v>
      </c>
      <c r="J103" s="371" t="s">
        <v>323</v>
      </c>
      <c r="K103" s="371" t="s">
        <v>350</v>
      </c>
      <c r="L103" s="377">
        <v>1425</v>
      </c>
      <c r="M103" s="371">
        <v>1</v>
      </c>
      <c r="N103" s="374" t="s">
        <v>205</v>
      </c>
      <c r="O103" s="374" t="s">
        <v>351</v>
      </c>
      <c r="P103" s="375">
        <f>_xlfn.XLOOKUP(D103,'Rent Roll - RPM'!$B$3:$B$60,'Rent Roll - RPM'!$Q$3:$Q$60,"")</f>
        <v>45834</v>
      </c>
      <c r="Q103" s="375">
        <f>_xlfn.XLOOKUP($D103,'Rent Roll - RPM'!$B$3:$B$60,'Rent Roll - RPM'!$R$3:$R$60,"")</f>
        <v>45836</v>
      </c>
      <c r="R103" s="375">
        <f>_xlfn.XLOOKUP(D103,'Rent Roll - RPM'!$B$3:$B$60,'Rent Roll - RPM'!$S$3:$S$60,"")</f>
        <v>46230</v>
      </c>
      <c r="S103" s="376">
        <v>2450</v>
      </c>
      <c r="T103" s="376">
        <f>S103/L103</f>
        <v>1.7192982456140351</v>
      </c>
      <c r="V103" s="376"/>
      <c r="W103" s="376"/>
      <c r="X103" s="376"/>
    </row>
    <row r="104" spans="1:24" x14ac:dyDescent="0.25">
      <c r="A104" s="371">
        <v>3</v>
      </c>
      <c r="B104" s="371">
        <v>8</v>
      </c>
      <c r="C104" s="371">
        <v>32</v>
      </c>
      <c r="D104" s="371" t="str">
        <f>IF(ISNUMBER(SEARCH("Bobby Meadow",F104)),LEFT(F104,FIND(" ",F104)-1)&amp;"M",LEFT(F104,FIND(" ",F104)-1)&amp;MID(F104,FIND(" ",F104)+1,1))</f>
        <v>22026L</v>
      </c>
      <c r="E104" s="371" t="str">
        <f>IFERROR(IF(_xlfn.XMATCH(D104,'Rent Roll - RPM'!$B$3:$B$60,0,1)&gt;0,"Match","No Match"),"No Match")</f>
        <v>Match</v>
      </c>
      <c r="F104" s="371" t="s">
        <v>382</v>
      </c>
      <c r="G104" s="371" t="str">
        <f>_xlfn.XLOOKUP(D104,'Rent Roll - RPM'!$B$3:$B$60,'Rent Roll - RPM'!$D$3:$D$60,0)</f>
        <v>Pipkin, Raquel</v>
      </c>
      <c r="I104" s="371" t="s">
        <v>383</v>
      </c>
      <c r="J104" s="371" t="s">
        <v>73</v>
      </c>
      <c r="K104" s="371" t="s">
        <v>384</v>
      </c>
      <c r="L104" s="373">
        <v>2431</v>
      </c>
      <c r="M104" s="371">
        <v>2</v>
      </c>
      <c r="N104" s="374" t="s">
        <v>205</v>
      </c>
      <c r="O104" s="374" t="s">
        <v>351</v>
      </c>
      <c r="P104" s="375">
        <f>_xlfn.XLOOKUP(D104,'Rent Roll - RPM'!$B$3:$B$60,'Rent Roll - RPM'!$Q$3:$Q$60,"")</f>
        <v>45832</v>
      </c>
      <c r="Q104" s="375">
        <f>_xlfn.XLOOKUP($D104,'Rent Roll - RPM'!$B$3:$B$60,'Rent Roll - RPM'!$R$3:$R$60,"")</f>
        <v>45835</v>
      </c>
      <c r="R104" s="375">
        <f>_xlfn.XLOOKUP(D104,'Rent Roll - RPM'!$B$3:$B$60,'Rent Roll - RPM'!$S$3:$S$60,"")</f>
        <v>46229</v>
      </c>
      <c r="S104" s="376">
        <v>3600</v>
      </c>
      <c r="T104" s="376">
        <f>S104/L104</f>
        <v>1.4808720691073631</v>
      </c>
      <c r="V104" s="376"/>
      <c r="W104" s="376"/>
      <c r="X104" s="376"/>
    </row>
    <row r="105" spans="1:24" x14ac:dyDescent="0.25">
      <c r="A105" s="371">
        <v>1</v>
      </c>
      <c r="B105" s="371">
        <v>67</v>
      </c>
      <c r="C105" s="371">
        <v>1</v>
      </c>
      <c r="D105" s="371" t="str">
        <f>IF(ISNUMBER(SEARCH("Bobby Meadow",F105)),LEFT(F105,FIND(" ",F105)-1)&amp;"M",LEFT(F105,FIND(" ",F105)-1)&amp;MID(F105,FIND(" ",F105)+1,1))</f>
        <v>22002F</v>
      </c>
      <c r="E105" s="371" t="str">
        <f>IFERROR(IF(_xlfn.XMATCH(D105,'Rent Roll - RPM'!$B$3:$B$60,0,1)&gt;0,"Match","No Match"),"No Match")</f>
        <v>Match</v>
      </c>
      <c r="F105" s="371" t="s">
        <v>385</v>
      </c>
      <c r="G105" s="371" t="str">
        <f>_xlfn.XLOOKUP(D105,'Rent Roll - RPM'!$B$3:$B$60,'Rent Roll - RPM'!$D$3:$D$60,0)</f>
        <v>Agbo, Chinwe</v>
      </c>
      <c r="I105" s="371" t="s">
        <v>374</v>
      </c>
      <c r="J105" s="371" t="s">
        <v>323</v>
      </c>
      <c r="K105" s="371" t="s">
        <v>350</v>
      </c>
      <c r="L105" s="377">
        <v>1425</v>
      </c>
      <c r="M105" s="371">
        <v>1</v>
      </c>
      <c r="N105" s="374" t="s">
        <v>205</v>
      </c>
      <c r="O105" s="374" t="s">
        <v>351</v>
      </c>
      <c r="P105" s="375">
        <f>_xlfn.XLOOKUP(D105,'Rent Roll - RPM'!$B$3:$B$60,'Rent Roll - RPM'!$Q$3:$Q$60,"")</f>
        <v>45821</v>
      </c>
      <c r="Q105" s="375">
        <f>_xlfn.XLOOKUP($D105,'Rent Roll - RPM'!$B$3:$B$60,'Rent Roll - RPM'!$R$3:$R$60,"")</f>
        <v>45829</v>
      </c>
      <c r="R105" s="375">
        <f>_xlfn.XLOOKUP(D105,'Rent Roll - RPM'!$B$3:$B$60,'Rent Roll - RPM'!$S$3:$S$60,"")</f>
        <v>46223</v>
      </c>
      <c r="S105" s="376">
        <v>2450</v>
      </c>
      <c r="T105" s="376">
        <f>S105/L105</f>
        <v>1.7192982456140351</v>
      </c>
      <c r="V105" s="376"/>
      <c r="W105" s="376"/>
      <c r="X105" s="376"/>
    </row>
    <row r="106" spans="1:24" x14ac:dyDescent="0.25">
      <c r="A106" s="371">
        <v>1</v>
      </c>
      <c r="B106" s="371">
        <v>55</v>
      </c>
      <c r="C106" s="371">
        <v>13</v>
      </c>
      <c r="D106" s="371" t="str">
        <f>IF(ISNUMBER(SEARCH("Bobby Meadow",F106)),LEFT(F106,FIND(" ",F106)-1)&amp;"M",LEFT(F106,FIND(" ",F106)-1)&amp;MID(F106,FIND(" ",F106)+1,1))</f>
        <v>22045L</v>
      </c>
      <c r="E106" s="371" t="str">
        <f>IFERROR(IF(_xlfn.XMATCH(D106,'Rent Roll - RPM'!$B$3:$B$60,0,1)&gt;0,"Match","No Match"),"No Match")</f>
        <v>Match</v>
      </c>
      <c r="F106" s="371" t="s">
        <v>386</v>
      </c>
      <c r="G106" s="371" t="str">
        <f>_xlfn.XLOOKUP(D106,'Rent Roll - RPM'!$B$3:$B$60,'Rent Roll - RPM'!$D$3:$D$60,0)</f>
        <v>Adaranijo, Idris</v>
      </c>
      <c r="I106" s="371" t="s">
        <v>354</v>
      </c>
      <c r="J106" s="371" t="s">
        <v>323</v>
      </c>
      <c r="K106" s="371" t="s">
        <v>350</v>
      </c>
      <c r="L106" s="377">
        <v>1425</v>
      </c>
      <c r="M106" s="371">
        <v>1</v>
      </c>
      <c r="N106" s="374" t="s">
        <v>205</v>
      </c>
      <c r="O106" s="374" t="s">
        <v>351</v>
      </c>
      <c r="P106" s="375">
        <f>_xlfn.XLOOKUP(D106,'Rent Roll - RPM'!$B$3:$B$60,'Rent Roll - RPM'!$Q$3:$Q$60,"")</f>
        <v>45812</v>
      </c>
      <c r="Q106" s="375">
        <f>_xlfn.XLOOKUP($D106,'Rent Roll - RPM'!$B$3:$B$60,'Rent Roll - RPM'!$R$3:$R$60,"")</f>
        <v>45819</v>
      </c>
      <c r="R106" s="375">
        <f>_xlfn.XLOOKUP(D106,'Rent Roll - RPM'!$B$3:$B$60,'Rent Roll - RPM'!$S$3:$S$60,"")</f>
        <v>46213</v>
      </c>
      <c r="S106" s="376">
        <v>2450</v>
      </c>
      <c r="T106" s="376">
        <f>S106/L106</f>
        <v>1.7192982456140351</v>
      </c>
      <c r="V106" s="376"/>
      <c r="W106" s="376"/>
      <c r="X106" s="376"/>
    </row>
    <row r="107" spans="1:24" x14ac:dyDescent="0.25">
      <c r="A107" s="371">
        <v>1</v>
      </c>
      <c r="B107" s="371">
        <v>63</v>
      </c>
      <c r="C107" s="371">
        <v>5</v>
      </c>
      <c r="D107" s="371" t="str">
        <f>IF(ISNUMBER(SEARCH("Bobby Meadow",F107)),LEFT(F107,FIND(" ",F107)-1)&amp;"M",LEFT(F107,FIND(" ",F107)-1)&amp;MID(F107,FIND(" ",F107)+1,1))</f>
        <v>22018F</v>
      </c>
      <c r="E107" s="371" t="str">
        <f>IFERROR(IF(_xlfn.XMATCH(D107,'Rent Roll - RPM'!$B$3:$B$60,0,1)&gt;0,"Match","No Match"),"No Match")</f>
        <v>Match</v>
      </c>
      <c r="F107" s="371" t="s">
        <v>249</v>
      </c>
      <c r="G107" s="371" t="str">
        <f>_xlfn.XLOOKUP(D107,'Rent Roll - RPM'!$B$3:$B$60,'Rent Roll - RPM'!$D$3:$D$60,0)</f>
        <v>Aro, Opeyemi</v>
      </c>
      <c r="I107" s="371" t="s">
        <v>362</v>
      </c>
      <c r="J107" s="371" t="s">
        <v>22</v>
      </c>
      <c r="K107" s="371" t="s">
        <v>342</v>
      </c>
      <c r="L107" s="373">
        <v>1685</v>
      </c>
      <c r="M107" s="371">
        <v>1</v>
      </c>
      <c r="N107" s="374" t="s">
        <v>205</v>
      </c>
      <c r="O107" s="374" t="s">
        <v>351</v>
      </c>
      <c r="P107" s="375">
        <f>_xlfn.XLOOKUP(D107,'Rent Roll - RPM'!$B$3:$B$60,'Rent Roll - RPM'!$Q$3:$Q$60,"")</f>
        <v>45804</v>
      </c>
      <c r="Q107" s="375">
        <f>_xlfn.XLOOKUP($D107,'Rent Roll - RPM'!$B$3:$B$60,'Rent Roll - RPM'!$R$3:$R$60,"")</f>
        <v>45809</v>
      </c>
      <c r="R107" s="375">
        <f>_xlfn.XLOOKUP(D107,'Rent Roll - RPM'!$B$3:$B$60,'Rent Roll - RPM'!$S$3:$S$60,"")</f>
        <v>46568</v>
      </c>
      <c r="S107" s="376">
        <v>2750</v>
      </c>
      <c r="T107" s="376">
        <f>S107/L107</f>
        <v>1.6320474777448071</v>
      </c>
      <c r="V107" s="376"/>
      <c r="W107" s="376"/>
      <c r="X107" s="376"/>
    </row>
    <row r="108" spans="1:24" x14ac:dyDescent="0.25">
      <c r="A108" s="371">
        <v>1</v>
      </c>
      <c r="B108" s="371">
        <v>60</v>
      </c>
      <c r="C108" s="371">
        <v>8</v>
      </c>
      <c r="D108" s="371" t="str">
        <f>IF(ISNUMBER(SEARCH("Bobby Meadow",F108)),LEFT(F108,FIND(" ",F108)-1)&amp;"M",LEFT(F108,FIND(" ",F108)-1)&amp;MID(F108,FIND(" ",F108)+1,1))</f>
        <v>22030F</v>
      </c>
      <c r="E108" s="371" t="str">
        <f>IFERROR(IF(_xlfn.XMATCH(D108,'Rent Roll - RPM'!$B$3:$B$60,0,1)&gt;0,"Match","No Match"),"No Match")</f>
        <v>Match</v>
      </c>
      <c r="F108" s="371" t="s">
        <v>248</v>
      </c>
      <c r="G108" s="371" t="str">
        <f>_xlfn.XLOOKUP(D108,'Rent Roll - RPM'!$B$3:$B$60,'Rent Roll - RPM'!$D$3:$D$60,0)</f>
        <v>Roberts, Melissa</v>
      </c>
      <c r="I108" s="371" t="s">
        <v>369</v>
      </c>
      <c r="J108" s="371" t="s">
        <v>323</v>
      </c>
      <c r="K108" s="371" t="s">
        <v>350</v>
      </c>
      <c r="L108" s="377">
        <v>1425</v>
      </c>
      <c r="M108" s="371">
        <v>1</v>
      </c>
      <c r="N108" s="374" t="s">
        <v>205</v>
      </c>
      <c r="O108" s="374" t="s">
        <v>351</v>
      </c>
      <c r="P108" s="375">
        <f>_xlfn.XLOOKUP(D108,'Rent Roll - RPM'!$B$3:$B$60,'Rent Roll - RPM'!$Q$3:$Q$60,"")</f>
        <v>45797</v>
      </c>
      <c r="Q108" s="375">
        <f>_xlfn.XLOOKUP($D108,'Rent Roll - RPM'!$B$3:$B$60,'Rent Roll - RPM'!$R$3:$R$60,"")</f>
        <v>45800</v>
      </c>
      <c r="R108" s="375">
        <f>_xlfn.XLOOKUP(D108,'Rent Roll - RPM'!$B$3:$B$60,'Rent Roll - RPM'!$S$3:$S$60,"")</f>
        <v>46195</v>
      </c>
      <c r="S108" s="376">
        <v>2450</v>
      </c>
      <c r="T108" s="376">
        <f>S108/L108</f>
        <v>1.7192982456140351</v>
      </c>
      <c r="V108" s="376"/>
      <c r="W108" s="376"/>
      <c r="X108" s="376"/>
    </row>
    <row r="109" spans="1:24" x14ac:dyDescent="0.25">
      <c r="A109" s="371">
        <v>1</v>
      </c>
      <c r="B109" s="371">
        <v>37</v>
      </c>
      <c r="C109" s="371">
        <v>48</v>
      </c>
      <c r="D109" s="371" t="str">
        <f>IF(ISNUMBER(SEARCH("Bobby Meadow",F109)),LEFT(F109,FIND(" ",F109)-1)&amp;"M",LEFT(F109,FIND(" ",F109)-1)&amp;MID(F109,FIND(" ",F109)+1,1))</f>
        <v>21938M</v>
      </c>
      <c r="E109" s="371" t="str">
        <f>IFERROR(IF(_xlfn.XMATCH(D109,'Rent Roll - RPM'!$B$3:$B$60,0,1)&gt;0,"Match","No Match"),"No Match")</f>
        <v>Match</v>
      </c>
      <c r="F109" s="371" t="s">
        <v>261</v>
      </c>
      <c r="G109" s="371" t="str">
        <f>_xlfn.XLOOKUP(D109,'Rent Roll - RPM'!$B$3:$B$60,'Rent Roll - RPM'!$D$3:$D$60,0)</f>
        <v>Posadas, Yolanda</v>
      </c>
      <c r="I109" s="371" t="s">
        <v>374</v>
      </c>
      <c r="J109" s="371" t="s">
        <v>323</v>
      </c>
      <c r="K109" s="371" t="s">
        <v>350</v>
      </c>
      <c r="L109" s="377">
        <v>1425</v>
      </c>
      <c r="M109" s="371">
        <v>3</v>
      </c>
      <c r="N109" s="374" t="s">
        <v>205</v>
      </c>
      <c r="O109" s="374" t="s">
        <v>351</v>
      </c>
      <c r="P109" s="375">
        <f>_xlfn.XLOOKUP(D109,'Rent Roll - RPM'!$B$3:$B$60,'Rent Roll - RPM'!$Q$3:$Q$60,"")</f>
        <v>45778</v>
      </c>
      <c r="Q109" s="375">
        <f>_xlfn.XLOOKUP($D109,'Rent Roll - RPM'!$B$3:$B$60,'Rent Roll - RPM'!$R$3:$R$60,"")</f>
        <v>45865</v>
      </c>
      <c r="R109" s="375">
        <f>_xlfn.XLOOKUP(D109,'Rent Roll - RPM'!$B$3:$B$60,'Rent Roll - RPM'!$S$3:$S$60,"")</f>
        <v>46321</v>
      </c>
      <c r="S109" s="376">
        <v>2450</v>
      </c>
      <c r="T109" s="376">
        <f>S109/L109</f>
        <v>1.7192982456140351</v>
      </c>
      <c r="V109" s="376"/>
      <c r="W109" s="376"/>
      <c r="X109" s="376"/>
    </row>
    <row r="110" spans="1:24" x14ac:dyDescent="0.25">
      <c r="A110" s="371">
        <v>1</v>
      </c>
      <c r="B110" s="371">
        <v>61</v>
      </c>
      <c r="C110" s="371">
        <v>7</v>
      </c>
      <c r="D110" s="371" t="str">
        <f>IF(ISNUMBER(SEARCH("Bobby Meadow",F110)),LEFT(F110,FIND(" ",F110)-1)&amp;"M",LEFT(F110,FIND(" ",F110)-1)&amp;MID(F110,FIND(" ",F110)+1,1))</f>
        <v>22026F</v>
      </c>
      <c r="E110" s="371" t="str">
        <f>IFERROR(IF(_xlfn.XMATCH(D110,'Rent Roll - RPM'!$B$3:$B$60,0,1)&gt;0,"Match","No Match"),"No Match")</f>
        <v>Match</v>
      </c>
      <c r="F110" s="371" t="s">
        <v>242</v>
      </c>
      <c r="G110" s="371" t="str">
        <f>_xlfn.XLOOKUP(D110,'Rent Roll - RPM'!$B$3:$B$60,'Rent Roll - RPM'!$D$3:$D$60,0)</f>
        <v>Maxwell, Felicia</v>
      </c>
      <c r="I110" s="371" t="s">
        <v>349</v>
      </c>
      <c r="J110" s="371" t="s">
        <v>65</v>
      </c>
      <c r="K110" s="371" t="s">
        <v>350</v>
      </c>
      <c r="L110" s="373">
        <v>1635</v>
      </c>
      <c r="M110" s="371">
        <v>1</v>
      </c>
      <c r="N110" s="374" t="s">
        <v>205</v>
      </c>
      <c r="O110" s="374" t="s">
        <v>351</v>
      </c>
      <c r="P110" s="375">
        <f>_xlfn.XLOOKUP(D110,'Rent Roll - RPM'!$B$3:$B$60,'Rent Roll - RPM'!$Q$3:$Q$60,"")</f>
        <v>45776</v>
      </c>
      <c r="Q110" s="375">
        <f>_xlfn.XLOOKUP($D110,'Rent Roll - RPM'!$B$3:$B$60,'Rent Roll - RPM'!$R$3:$R$60,"")</f>
        <v>45778</v>
      </c>
      <c r="R110" s="375">
        <f>_xlfn.XLOOKUP(D110,'Rent Roll - RPM'!$B$3:$B$60,'Rent Roll - RPM'!$S$3:$S$60,"")</f>
        <v>46173</v>
      </c>
      <c r="S110" s="376">
        <v>2650</v>
      </c>
      <c r="T110" s="376">
        <f>S110/L110</f>
        <v>1.620795107033639</v>
      </c>
      <c r="V110" s="376"/>
      <c r="W110" s="376"/>
      <c r="X110" s="376"/>
    </row>
    <row r="111" spans="1:24" x14ac:dyDescent="0.25">
      <c r="A111" s="371">
        <v>1</v>
      </c>
      <c r="B111" s="371">
        <v>42</v>
      </c>
      <c r="C111" s="371">
        <v>43</v>
      </c>
      <c r="D111" s="371" t="str">
        <f>IF(ISNUMBER(SEARCH("Bobby Meadow",F111)),LEFT(F111,FIND(" ",F111)-1)&amp;"M",IF(ISNUMBER(SEARCH("Bruce Rushing",F111)),LEFT(F111,FIND(" ",F111)-1)&amp;"R",LEFT(F111,FIND(" ",F111)-1)&amp;MID(F111,FIND(" ",F111)+1,1)))</f>
        <v>21917R</v>
      </c>
      <c r="E111" s="371" t="str">
        <f>IFERROR(IF(_xlfn.XMATCH(D111,'Rent Roll - RPM'!$B$3:$B$60,0,1)&gt;0,"Match","No Match"),"No Match")</f>
        <v>Match</v>
      </c>
      <c r="F111" s="371" t="s">
        <v>257</v>
      </c>
      <c r="G111" s="371" t="str">
        <f>_xlfn.XLOOKUP(D111,'Rent Roll - RPM'!$B$3:$B$60,'Rent Roll - RPM'!$D$3:$D$60,0)</f>
        <v>Jeffery, Laura</v>
      </c>
      <c r="I111" s="371" t="s">
        <v>341</v>
      </c>
      <c r="J111" s="371" t="s">
        <v>22</v>
      </c>
      <c r="K111" s="371" t="s">
        <v>342</v>
      </c>
      <c r="L111" s="373">
        <v>1685</v>
      </c>
      <c r="M111" s="371">
        <v>3</v>
      </c>
      <c r="N111" s="374" t="s">
        <v>205</v>
      </c>
      <c r="O111" s="374" t="s">
        <v>351</v>
      </c>
      <c r="P111" s="375">
        <f>_xlfn.XLOOKUP(D111,'Rent Roll - RPM'!$B$3:$B$60,'Rent Roll - RPM'!$Q$3:$Q$60,"")</f>
        <v>45770</v>
      </c>
      <c r="Q111" s="375">
        <f>_xlfn.XLOOKUP($D111,'Rent Roll - RPM'!$B$3:$B$60,'Rent Roll - RPM'!$R$3:$R$60,"")</f>
        <v>45856</v>
      </c>
      <c r="R111" s="375">
        <f>_xlfn.XLOOKUP(D111,'Rent Roll - RPM'!$B$3:$B$60,'Rent Roll - RPM'!$S$3:$S$60,"")</f>
        <v>46251</v>
      </c>
      <c r="S111" s="376">
        <v>2750</v>
      </c>
      <c r="T111" s="376">
        <f>S111/L111</f>
        <v>1.6320474777448071</v>
      </c>
      <c r="V111" s="376"/>
      <c r="W111" s="376"/>
      <c r="X111" s="376"/>
    </row>
    <row r="112" spans="1:24" x14ac:dyDescent="0.25">
      <c r="A112" s="371">
        <v>3</v>
      </c>
      <c r="B112" s="371">
        <v>2</v>
      </c>
      <c r="C112" s="371">
        <v>15</v>
      </c>
      <c r="D112" s="371" t="str">
        <f>IF(ISNUMBER(SEARCH("Bobby Meadow",F112)),LEFT(F112,FIND(" ",F112)-1)&amp;"M",LEFT(F112,FIND(" ",F112)-1)&amp;MID(F112,FIND(" ",F112)+1,1))</f>
        <v>22015F</v>
      </c>
      <c r="E112" s="371" t="str">
        <f>IFERROR(IF(_xlfn.XMATCH(D112,'Rent Roll - RPM'!$B$3:$B$60,0,1)&gt;0,"Match","No Match"),"No Match")</f>
        <v>Match</v>
      </c>
      <c r="F112" s="371" t="s">
        <v>240</v>
      </c>
      <c r="G112" s="371" t="str">
        <f>_xlfn.XLOOKUP(D112,'Rent Roll - RPM'!$B$3:$B$60,'Rent Roll - RPM'!$D$3:$D$60,0)</f>
        <v>Olmsted, Deborah</v>
      </c>
      <c r="I112" s="371" t="s">
        <v>374</v>
      </c>
      <c r="J112" s="371" t="s">
        <v>323</v>
      </c>
      <c r="K112" s="371" t="s">
        <v>350</v>
      </c>
      <c r="L112" s="377">
        <v>1425</v>
      </c>
      <c r="M112" s="371">
        <v>1</v>
      </c>
      <c r="N112" s="374" t="s">
        <v>205</v>
      </c>
      <c r="O112" s="374" t="s">
        <v>351</v>
      </c>
      <c r="P112" s="375">
        <f>_xlfn.XLOOKUP(D112,'Rent Roll - RPM'!$B$3:$B$60,'Rent Roll - RPM'!$Q$3:$Q$60,"")</f>
        <v>45758</v>
      </c>
      <c r="Q112" s="375">
        <f>_xlfn.XLOOKUP($D112,'Rent Roll - RPM'!$B$3:$B$60,'Rent Roll - RPM'!$R$3:$R$60,"")</f>
        <v>45777</v>
      </c>
      <c r="R112" s="375">
        <f>_xlfn.XLOOKUP(D112,'Rent Roll - RPM'!$B$3:$B$60,'Rent Roll - RPM'!$S$3:$S$60,"")</f>
        <v>46232</v>
      </c>
      <c r="S112" s="376">
        <v>2450</v>
      </c>
      <c r="T112" s="376">
        <f>S112/L112</f>
        <v>1.7192982456140351</v>
      </c>
      <c r="V112" s="376"/>
      <c r="W112" s="376"/>
      <c r="X112" s="376"/>
    </row>
    <row r="113" spans="1:24" x14ac:dyDescent="0.25">
      <c r="A113" s="371">
        <v>1</v>
      </c>
      <c r="B113" s="371">
        <v>64</v>
      </c>
      <c r="C113" s="371">
        <v>4</v>
      </c>
      <c r="D113" s="371" t="str">
        <f>IF(ISNUMBER(SEARCH("Bobby Meadow",F113)),LEFT(F113,FIND(" ",F113)-1)&amp;"M",LEFT(F113,FIND(" ",F113)-1)&amp;MID(F113,FIND(" ",F113)+1,1))</f>
        <v>22014F</v>
      </c>
      <c r="E113" s="371" t="str">
        <f>IFERROR(IF(_xlfn.XMATCH(D113,'Rent Roll - RPM'!$B$3:$B$60,0,1)&gt;0,"Match","No Match"),"No Match")</f>
        <v>Match</v>
      </c>
      <c r="F113" s="371" t="s">
        <v>246</v>
      </c>
      <c r="G113" s="371" t="str">
        <f>_xlfn.XLOOKUP(D113,'Rent Roll - RPM'!$B$3:$B$60,'Rent Roll - RPM'!$D$3:$D$60,0)</f>
        <v>Green, Dominique</v>
      </c>
      <c r="I113" s="371" t="s">
        <v>354</v>
      </c>
      <c r="J113" s="371" t="s">
        <v>323</v>
      </c>
      <c r="K113" s="371" t="s">
        <v>350</v>
      </c>
      <c r="L113" s="377">
        <v>1425</v>
      </c>
      <c r="M113" s="371">
        <v>1</v>
      </c>
      <c r="N113" s="374" t="s">
        <v>205</v>
      </c>
      <c r="O113" s="374" t="s">
        <v>351</v>
      </c>
      <c r="P113" s="375">
        <f>_xlfn.XLOOKUP(D113,'Rent Roll - RPM'!$B$3:$B$60,'Rent Roll - RPM'!$Q$3:$Q$60,"")</f>
        <v>45757</v>
      </c>
      <c r="Q113" s="375">
        <f>_xlfn.XLOOKUP($D113,'Rent Roll - RPM'!$B$3:$B$60,'Rent Roll - RPM'!$R$3:$R$60,"")</f>
        <v>45782</v>
      </c>
      <c r="R113" s="375">
        <f>_xlfn.XLOOKUP(D113,'Rent Roll - RPM'!$B$3:$B$60,'Rent Roll - RPM'!$S$3:$S$60,"")</f>
        <v>46177</v>
      </c>
      <c r="S113" s="376">
        <v>2450</v>
      </c>
      <c r="T113" s="376">
        <f>S113/L113</f>
        <v>1.7192982456140351</v>
      </c>
      <c r="V113" s="376"/>
      <c r="W113" s="376"/>
      <c r="X113" s="376"/>
    </row>
    <row r="114" spans="1:24" x14ac:dyDescent="0.25">
      <c r="A114" s="371">
        <v>3</v>
      </c>
      <c r="B114" s="371">
        <v>1</v>
      </c>
      <c r="C114" s="371">
        <v>14</v>
      </c>
      <c r="D114" s="371" t="str">
        <f>IF(ISNUMBER(SEARCH("Bobby Meadow",F114)),LEFT(F114,FIND(" ",F114)-1)&amp;"M",LEFT(F114,FIND(" ",F114)-1)&amp;MID(F114,FIND(" ",F114)+1,1))</f>
        <v>22011F</v>
      </c>
      <c r="E114" s="371" t="str">
        <f>IFERROR(IF(_xlfn.XMATCH(D114,'Rent Roll - RPM'!$B$3:$B$60,0,1)&gt;0,"Match","No Match"),"No Match")</f>
        <v>Match</v>
      </c>
      <c r="F114" s="371" t="s">
        <v>375</v>
      </c>
      <c r="G114" s="1088" t="str">
        <f>_xlfn.XLOOKUP(D114,'Rent Roll - RPM'!$B$3:$B$60,'Rent Roll - RPM'!$D$3:$D$60,0)</f>
        <v>Smith, Gabrielle</v>
      </c>
      <c r="I114" s="371" t="s">
        <v>341</v>
      </c>
      <c r="J114" s="371" t="s">
        <v>323</v>
      </c>
      <c r="K114" s="371" t="s">
        <v>350</v>
      </c>
      <c r="L114" s="377">
        <v>1425</v>
      </c>
      <c r="M114" s="371">
        <v>1</v>
      </c>
      <c r="N114" s="374" t="s">
        <v>205</v>
      </c>
      <c r="O114" s="374" t="s">
        <v>351</v>
      </c>
      <c r="P114" s="375">
        <f>_xlfn.XLOOKUP(D114,'Rent Roll - RPM'!$B$3:$B$60,'Rent Roll - RPM'!$Q$3:$Q$60,"")</f>
        <v>45744</v>
      </c>
      <c r="Q114" s="375">
        <f>_xlfn.XLOOKUP($D114,'Rent Roll - RPM'!$B$3:$B$60,'Rent Roll - RPM'!$R$3:$R$60,"")</f>
        <v>45878</v>
      </c>
      <c r="R114" s="375">
        <f>_xlfn.XLOOKUP(D114,'Rent Roll - RPM'!$B$3:$B$60,'Rent Roll - RPM'!$S$3:$S$60,"")</f>
        <v>46334</v>
      </c>
      <c r="S114" s="376">
        <v>2450</v>
      </c>
      <c r="T114" s="376">
        <f>S114/L114</f>
        <v>1.7192982456140351</v>
      </c>
      <c r="V114" s="376"/>
      <c r="W114" s="379"/>
      <c r="X114" s="379"/>
    </row>
    <row r="115" spans="1:24" x14ac:dyDescent="0.25">
      <c r="A115" s="371">
        <v>1</v>
      </c>
      <c r="B115" s="371">
        <v>53</v>
      </c>
      <c r="C115" s="371">
        <v>22</v>
      </c>
      <c r="D115" s="371" t="str">
        <f>IF(ISNUMBER(SEARCH("Bobby Meadow",F115)),LEFT(F115,FIND(" ",F115)-1)&amp;"M",LEFT(F115,FIND(" ",F115)-1)&amp;MID(F115,FIND(" ",F115)+1,1))</f>
        <v>22037L</v>
      </c>
      <c r="E115" s="371" t="str">
        <f>IFERROR(IF(_xlfn.XMATCH(D115,'Rent Roll - RPM'!$B$3:$B$60,0,1)&gt;0,"Match","No Match"),"No Match")</f>
        <v>Match</v>
      </c>
      <c r="F115" s="371" t="s">
        <v>244</v>
      </c>
      <c r="G115" s="371" t="str">
        <f>_xlfn.XLOOKUP(D115,'Rent Roll - RPM'!$B$3:$B$60,'Rent Roll - RPM'!$D$3:$D$60,0)</f>
        <v>Trinh, Brian</v>
      </c>
      <c r="I115" s="371" t="s">
        <v>371</v>
      </c>
      <c r="J115" s="371" t="s">
        <v>65</v>
      </c>
      <c r="K115" s="371" t="s">
        <v>350</v>
      </c>
      <c r="L115" s="373">
        <v>1635</v>
      </c>
      <c r="M115" s="371">
        <v>2</v>
      </c>
      <c r="N115" s="374" t="s">
        <v>205</v>
      </c>
      <c r="O115" s="374" t="s">
        <v>351</v>
      </c>
      <c r="P115" s="375">
        <f>_xlfn.XLOOKUP(D115,'Rent Roll - RPM'!$B$3:$B$60,'Rent Roll - RPM'!$Q$3:$Q$60,"")</f>
        <v>45737</v>
      </c>
      <c r="Q115" s="375">
        <f>_xlfn.XLOOKUP($D115,'Rent Roll - RPM'!$B$3:$B$60,'Rent Roll - RPM'!$R$3:$R$60,"")</f>
        <v>45778</v>
      </c>
      <c r="R115" s="375">
        <f>_xlfn.XLOOKUP(D115,'Rent Roll - RPM'!$B$3:$B$60,'Rent Roll - RPM'!$S$3:$S$60,"")</f>
        <v>46538</v>
      </c>
      <c r="S115" s="376">
        <v>2650</v>
      </c>
      <c r="T115" s="376">
        <f>S115/L115</f>
        <v>1.620795107033639</v>
      </c>
      <c r="V115" s="376"/>
      <c r="W115" s="376"/>
      <c r="X115" s="376"/>
    </row>
    <row r="116" spans="1:24" x14ac:dyDescent="0.25">
      <c r="A116" s="371">
        <v>1</v>
      </c>
      <c r="B116" s="371">
        <v>54</v>
      </c>
      <c r="C116" s="371">
        <v>21</v>
      </c>
      <c r="D116" s="371" t="str">
        <f>IF(ISNUMBER(SEARCH("Bobby Meadow",F116)),LEFT(F116,FIND(" ",F116)-1)&amp;"M",LEFT(F116,FIND(" ",F116)-1)&amp;MID(F116,FIND(" ",F116)+1,1))</f>
        <v>22041L</v>
      </c>
      <c r="E116" s="371" t="str">
        <f>IFERROR(IF(_xlfn.XMATCH(D116,'Rent Roll - RPM'!$B$3:$B$60,0,1)&gt;0,"Match","No Match"),"No Match")</f>
        <v>Match</v>
      </c>
      <c r="F116" s="371" t="s">
        <v>380</v>
      </c>
      <c r="G116" s="371" t="str">
        <f>_xlfn.XLOOKUP(D116,'Rent Roll - RPM'!$B$3:$B$60,'Rent Roll - RPM'!$D$3:$D$60,0)</f>
        <v>Pack, Taylor</v>
      </c>
      <c r="I116" s="371" t="s">
        <v>369</v>
      </c>
      <c r="J116" s="371" t="s">
        <v>323</v>
      </c>
      <c r="K116" s="371" t="s">
        <v>350</v>
      </c>
      <c r="L116" s="377">
        <v>1425</v>
      </c>
      <c r="M116" s="371">
        <v>2</v>
      </c>
      <c r="N116" s="374" t="s">
        <v>205</v>
      </c>
      <c r="O116" s="374" t="s">
        <v>351</v>
      </c>
      <c r="P116" s="375">
        <f>_xlfn.XLOOKUP(D116,'Rent Roll - RPM'!$B$3:$B$60,'Rent Roll - RPM'!$Q$3:$Q$60,"")</f>
        <v>45729</v>
      </c>
      <c r="Q116" s="375">
        <f>_xlfn.XLOOKUP($D116,'Rent Roll - RPM'!$B$3:$B$60,'Rent Roll - RPM'!$R$3:$R$60,"")</f>
        <v>45863</v>
      </c>
      <c r="R116" s="375">
        <f>_xlfn.XLOOKUP(D116,'Rent Roll - RPM'!$B$3:$B$60,'Rent Roll - RPM'!$S$3:$S$60,"")</f>
        <v>46227</v>
      </c>
      <c r="S116" s="376">
        <v>2450</v>
      </c>
      <c r="T116" s="376">
        <f>S116/L116</f>
        <v>1.7192982456140351</v>
      </c>
      <c r="V116" s="376"/>
      <c r="W116" s="376"/>
      <c r="X116" s="376"/>
    </row>
    <row r="117" spans="1:24" hidden="1" x14ac:dyDescent="0.25">
      <c r="A117" s="371">
        <v>1</v>
      </c>
      <c r="B117" s="371">
        <v>15</v>
      </c>
      <c r="C117" s="371">
        <v>89</v>
      </c>
      <c r="D117" s="371" t="str">
        <f t="shared" ref="D112:D118" si="2">IF(ISNUMBER(SEARCH("Bobby Meadow",F117)),LEFT(F117,FIND(" ",F117)-1)&amp;"M",LEFT(F117,FIND(" ",F117)-1)&amp;MID(F117,FIND(" ",F117)+1,1))</f>
        <v>7403H</v>
      </c>
      <c r="E117" s="371" t="str">
        <f>IFERROR(IF(_xlfn.XMATCH(D117,'Rent Roll - RPM'!$B$3:$B$60,0,1)&gt;0,"Match","No Match"),"No Match")</f>
        <v>No Match</v>
      </c>
      <c r="F117" s="371" t="s">
        <v>436</v>
      </c>
      <c r="G117" s="371">
        <f>_xlfn.XLOOKUP(D117,'Rent Roll - RPM'!$B$3:$B$60,'Rent Roll - RPM'!$D$3:$D$60,0)</f>
        <v>0</v>
      </c>
      <c r="H117" s="371">
        <v>1</v>
      </c>
      <c r="I117" s="371" t="s">
        <v>379</v>
      </c>
      <c r="J117" s="371" t="s">
        <v>69</v>
      </c>
      <c r="K117" s="371" t="s">
        <v>342</v>
      </c>
      <c r="L117" s="373">
        <v>1852</v>
      </c>
      <c r="M117" s="371">
        <v>5</v>
      </c>
      <c r="N117" s="374">
        <v>45991</v>
      </c>
      <c r="O117" s="374" t="s">
        <v>347</v>
      </c>
      <c r="R117" s="375" t="str">
        <f>_xlfn.XLOOKUP(D117,'Rent Roll - RPM'!$B$3:$B$60,'Rent Roll - RPM'!$S$3:$S$60,"")</f>
        <v/>
      </c>
      <c r="S117" s="376">
        <v>2950</v>
      </c>
      <c r="T117" s="376">
        <f t="shared" ref="T98:T118" si="3">S117/L117</f>
        <v>1.5928725701943844</v>
      </c>
      <c r="V117" s="376"/>
      <c r="W117" s="376"/>
      <c r="X117" s="376"/>
    </row>
    <row r="118" spans="1:24" hidden="1" x14ac:dyDescent="0.25">
      <c r="A118" s="1020">
        <v>1</v>
      </c>
      <c r="B118" s="1020">
        <v>51</v>
      </c>
      <c r="C118" s="1020">
        <v>24</v>
      </c>
      <c r="D118" s="1020" t="str">
        <f t="shared" si="2"/>
        <v>22029L</v>
      </c>
      <c r="E118" s="1020" t="str">
        <f>IFERROR(IF(_xlfn.XMATCH(D118,'Rent Roll - RPM'!$B$3:$B$60,0,1)&gt;0,"Match","No Match"),"No Match")</f>
        <v>Match</v>
      </c>
      <c r="F118" s="1020" t="s">
        <v>392</v>
      </c>
      <c r="G118" s="1020" t="str">
        <f>_xlfn.XLOOKUP(D118,'Rent Roll - RPM'!$B$3:$B$60,'Rent Roll - RPM'!$D$3:$D$60,0)</f>
        <v>Maxwell, Felicia</v>
      </c>
      <c r="H118" s="1020">
        <v>1</v>
      </c>
      <c r="I118" s="1020" t="s">
        <v>393</v>
      </c>
      <c r="J118" s="1020" t="s">
        <v>73</v>
      </c>
      <c r="K118" s="1020" t="s">
        <v>384</v>
      </c>
      <c r="L118" s="1021">
        <v>2431</v>
      </c>
      <c r="M118" s="1020">
        <v>2</v>
      </c>
      <c r="N118" s="1022" t="s">
        <v>205</v>
      </c>
      <c r="O118" s="1022" t="s">
        <v>759</v>
      </c>
      <c r="P118" s="1023"/>
      <c r="Q118" s="1023"/>
      <c r="R118" s="1023"/>
      <c r="S118" s="1024">
        <v>3600</v>
      </c>
      <c r="T118" s="1024">
        <f t="shared" si="3"/>
        <v>1.4808720691073631</v>
      </c>
      <c r="V118" s="376"/>
      <c r="W118" s="376"/>
      <c r="X118" s="376"/>
    </row>
  </sheetData>
  <autoFilter ref="A1:T118" xr:uid="{5DB0BFEB-35C3-4F05-9169-223D9A6D5151}">
    <filterColumn colId="15">
      <customFilters>
        <customFilter operator="notEqual" val=" "/>
      </customFilters>
    </filterColumn>
    <sortState xmlns:xlrd2="http://schemas.microsoft.com/office/spreadsheetml/2017/richdata2" ref="A22:T116">
      <sortCondition descending="1" ref="P1:P118"/>
    </sortState>
  </autoFilter>
  <conditionalFormatting sqref="E2:E118">
    <cfRule type="cellIs" dxfId="8" priority="1" operator="equal">
      <formula>$W$2</formula>
    </cfRule>
    <cfRule type="cellIs" dxfId="7" priority="2" operator="equal">
      <formula>$W$1</formula>
    </cfRule>
  </conditionalFormatting>
  <dataValidations count="1">
    <dataValidation type="list" allowBlank="1" showInputMessage="1" showErrorMessage="1" sqref="O2:O118" xr:uid="{F518F9A0-FD4C-4FB4-BC7F-E3B6E8E24901}">
      <formula1>$Y$2:$Y$6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78E4-A144-4B21-B030-175AC29524C0}">
  <dimension ref="B1:T60"/>
  <sheetViews>
    <sheetView showGridLines="0" zoomScale="115" zoomScaleNormal="115" workbookViewId="0">
      <selection activeCell="B9" sqref="B9"/>
    </sheetView>
  </sheetViews>
  <sheetFormatPr defaultRowHeight="15" x14ac:dyDescent="0.25"/>
  <cols>
    <col min="2" max="19" width="12.140625" customWidth="1"/>
    <col min="20" max="20" width="29.140625" bestFit="1" customWidth="1"/>
  </cols>
  <sheetData>
    <row r="1" spans="2:20" x14ac:dyDescent="0.25">
      <c r="B1" s="982" t="s">
        <v>726</v>
      </c>
      <c r="C1" s="982" t="s">
        <v>727</v>
      </c>
      <c r="D1" s="982" t="s">
        <v>728</v>
      </c>
      <c r="E1" s="983" t="s">
        <v>727</v>
      </c>
      <c r="F1" s="983" t="s">
        <v>726</v>
      </c>
      <c r="G1" s="983" t="s">
        <v>727</v>
      </c>
      <c r="H1" s="983" t="s">
        <v>726</v>
      </c>
      <c r="I1" s="984" t="s">
        <v>540</v>
      </c>
      <c r="J1" s="983" t="s">
        <v>729</v>
      </c>
      <c r="K1" s="982" t="s">
        <v>730</v>
      </c>
      <c r="L1" s="982" t="s">
        <v>731</v>
      </c>
      <c r="M1" s="982" t="s">
        <v>732</v>
      </c>
      <c r="N1" s="982" t="s">
        <v>732</v>
      </c>
      <c r="O1" s="982" t="s">
        <v>733</v>
      </c>
      <c r="P1" s="982" t="s">
        <v>731</v>
      </c>
      <c r="Q1" s="982" t="s">
        <v>734</v>
      </c>
      <c r="R1" s="982" t="s">
        <v>734</v>
      </c>
      <c r="S1" s="982" t="s">
        <v>734</v>
      </c>
    </row>
    <row r="2" spans="2:20" x14ac:dyDescent="0.25">
      <c r="B2" s="985"/>
      <c r="C2" s="985"/>
      <c r="D2" s="985"/>
      <c r="E2" s="986" t="s">
        <v>735</v>
      </c>
      <c r="F2" s="986" t="s">
        <v>735</v>
      </c>
      <c r="G2" s="986" t="s">
        <v>736</v>
      </c>
      <c r="H2" s="986" t="s">
        <v>736</v>
      </c>
      <c r="I2" s="985"/>
      <c r="J2" s="986" t="s">
        <v>737</v>
      </c>
      <c r="K2" s="987" t="s">
        <v>738</v>
      </c>
      <c r="L2" s="987" t="s">
        <v>739</v>
      </c>
      <c r="M2" s="985"/>
      <c r="N2" s="987" t="s">
        <v>740</v>
      </c>
      <c r="O2" s="985"/>
      <c r="P2" s="987" t="s">
        <v>741</v>
      </c>
      <c r="Q2" s="987" t="s">
        <v>742</v>
      </c>
      <c r="R2" s="987" t="s">
        <v>743</v>
      </c>
      <c r="S2" s="987" t="s">
        <v>744</v>
      </c>
    </row>
    <row r="3" spans="2:20" s="894" customFormat="1" ht="12" customHeight="1" x14ac:dyDescent="0.25">
      <c r="B3" s="973" t="s">
        <v>773</v>
      </c>
      <c r="C3" s="973" t="s">
        <v>774</v>
      </c>
      <c r="D3" s="973" t="s">
        <v>775</v>
      </c>
      <c r="E3" s="966">
        <v>2650</v>
      </c>
      <c r="F3" s="966">
        <v>2650</v>
      </c>
      <c r="G3" s="966">
        <v>1000</v>
      </c>
      <c r="H3" s="967">
        <v>0</v>
      </c>
      <c r="I3" s="974" t="s">
        <v>733</v>
      </c>
      <c r="J3" s="970"/>
      <c r="K3" s="969">
        <v>45772</v>
      </c>
      <c r="L3" s="969">
        <v>45778</v>
      </c>
      <c r="M3" s="973" t="s">
        <v>719</v>
      </c>
      <c r="N3" s="970"/>
      <c r="O3" s="969">
        <v>46099</v>
      </c>
      <c r="P3" s="969">
        <v>46173</v>
      </c>
      <c r="Q3" s="969">
        <v>45776</v>
      </c>
      <c r="R3" s="969">
        <v>45778</v>
      </c>
      <c r="S3" s="969">
        <v>46173</v>
      </c>
      <c r="T3" s="895" t="s">
        <v>685</v>
      </c>
    </row>
    <row r="4" spans="2:20" s="894" customFormat="1" ht="20.100000000000001" customHeight="1" x14ac:dyDescent="0.25">
      <c r="B4" s="1014" t="s">
        <v>776</v>
      </c>
      <c r="C4" s="1014" t="s">
        <v>777</v>
      </c>
      <c r="D4" s="1014" t="s">
        <v>778</v>
      </c>
      <c r="E4" s="1015">
        <v>2750</v>
      </c>
      <c r="F4" s="1015">
        <v>2750</v>
      </c>
      <c r="G4" s="1016">
        <v>0</v>
      </c>
      <c r="H4" s="1016">
        <v>0</v>
      </c>
      <c r="I4" s="1017" t="s">
        <v>722</v>
      </c>
      <c r="J4" s="1038">
        <v>475</v>
      </c>
      <c r="K4" s="1018">
        <v>45891</v>
      </c>
      <c r="L4" s="1018">
        <v>46150</v>
      </c>
      <c r="M4" s="1014" t="s">
        <v>719</v>
      </c>
      <c r="N4" s="1019"/>
      <c r="O4" s="1019"/>
      <c r="P4" s="1019"/>
      <c r="Q4" s="1019"/>
      <c r="R4" s="1018">
        <v>46113</v>
      </c>
      <c r="S4" s="1018">
        <v>46568</v>
      </c>
      <c r="T4" s="895"/>
    </row>
    <row r="5" spans="2:20" s="894" customFormat="1" ht="12" customHeight="1" x14ac:dyDescent="0.25">
      <c r="B5" s="973" t="s">
        <v>779</v>
      </c>
      <c r="C5" s="973" t="s">
        <v>780</v>
      </c>
      <c r="D5" s="973" t="s">
        <v>775</v>
      </c>
      <c r="E5" s="966">
        <v>3600</v>
      </c>
      <c r="F5" s="966">
        <v>3600</v>
      </c>
      <c r="G5" s="967">
        <v>0</v>
      </c>
      <c r="H5" s="967">
        <v>0</v>
      </c>
      <c r="I5" s="974" t="s">
        <v>718</v>
      </c>
      <c r="J5" s="968">
        <v>219</v>
      </c>
      <c r="K5" s="969">
        <v>45891</v>
      </c>
      <c r="L5" s="969">
        <v>46174</v>
      </c>
      <c r="M5" s="973" t="s">
        <v>719</v>
      </c>
      <c r="N5" s="970"/>
      <c r="O5" s="970"/>
      <c r="P5" s="970"/>
      <c r="Q5" s="969">
        <v>46099</v>
      </c>
      <c r="R5" s="969">
        <v>46174</v>
      </c>
      <c r="S5" s="969">
        <v>46568</v>
      </c>
      <c r="T5" s="895"/>
    </row>
    <row r="6" spans="2:20" s="894" customFormat="1" ht="12" customHeight="1" x14ac:dyDescent="0.25">
      <c r="B6" s="973" t="s">
        <v>747</v>
      </c>
      <c r="C6" s="973" t="s">
        <v>720</v>
      </c>
      <c r="D6" s="973" t="s">
        <v>721</v>
      </c>
      <c r="E6" s="966">
        <v>2650</v>
      </c>
      <c r="F6" s="966">
        <v>2650</v>
      </c>
      <c r="G6" s="967">
        <v>0</v>
      </c>
      <c r="H6" s="967">
        <v>0</v>
      </c>
      <c r="I6" s="974" t="s">
        <v>718</v>
      </c>
      <c r="J6" s="968">
        <v>440</v>
      </c>
      <c r="K6" s="969">
        <v>45987</v>
      </c>
      <c r="L6" s="969">
        <v>46127</v>
      </c>
      <c r="M6" s="973" t="s">
        <v>719</v>
      </c>
      <c r="N6" s="970"/>
      <c r="O6" s="970"/>
      <c r="P6" s="970"/>
      <c r="Q6" s="970"/>
      <c r="R6" s="969">
        <v>46127</v>
      </c>
      <c r="S6" s="969">
        <v>46521</v>
      </c>
      <c r="T6" s="895"/>
    </row>
    <row r="7" spans="2:20" s="894" customFormat="1" ht="12" customHeight="1" x14ac:dyDescent="0.25">
      <c r="B7" s="973" t="s">
        <v>748</v>
      </c>
      <c r="C7" s="973" t="s">
        <v>749</v>
      </c>
      <c r="D7" s="973" t="s">
        <v>750</v>
      </c>
      <c r="E7" s="966">
        <v>2950</v>
      </c>
      <c r="F7" s="966">
        <v>2950</v>
      </c>
      <c r="G7" s="967">
        <v>0</v>
      </c>
      <c r="H7" s="967">
        <v>0</v>
      </c>
      <c r="I7" s="974" t="s">
        <v>718</v>
      </c>
      <c r="J7" s="968">
        <v>475</v>
      </c>
      <c r="K7" s="969">
        <v>45891</v>
      </c>
      <c r="L7" s="969">
        <v>46111</v>
      </c>
      <c r="M7" s="973" t="s">
        <v>719</v>
      </c>
      <c r="N7" s="970"/>
      <c r="O7" s="970"/>
      <c r="P7" s="970"/>
      <c r="Q7" s="970"/>
      <c r="R7" s="969">
        <v>46111</v>
      </c>
      <c r="S7" s="969">
        <v>46506</v>
      </c>
      <c r="T7" s="895"/>
    </row>
    <row r="8" spans="2:20" s="894" customFormat="1" ht="12" customHeight="1" x14ac:dyDescent="0.25">
      <c r="B8" s="971"/>
      <c r="C8" s="971"/>
      <c r="D8" s="971"/>
      <c r="E8" s="966"/>
      <c r="F8" s="966"/>
      <c r="G8" s="967"/>
      <c r="H8" s="967"/>
      <c r="I8" s="972"/>
      <c r="J8" s="968"/>
      <c r="K8" s="969"/>
      <c r="L8" s="969"/>
      <c r="M8" s="971"/>
      <c r="N8" s="970"/>
      <c r="O8" s="970"/>
      <c r="P8" s="970"/>
      <c r="Q8" s="970"/>
      <c r="R8" s="969"/>
      <c r="S8" s="969"/>
      <c r="T8" s="895"/>
    </row>
    <row r="9" spans="2:20" x14ac:dyDescent="0.25">
      <c r="B9" s="981"/>
      <c r="C9" s="981"/>
      <c r="D9" s="981"/>
      <c r="E9" s="981"/>
      <c r="F9" s="981"/>
      <c r="G9" s="981"/>
      <c r="H9" s="981"/>
      <c r="I9" s="981"/>
      <c r="J9" s="981"/>
      <c r="K9" s="981"/>
      <c r="L9" s="981"/>
      <c r="M9" s="981"/>
      <c r="N9" s="981"/>
      <c r="O9" s="981"/>
      <c r="P9" s="981"/>
      <c r="Q9" s="981"/>
      <c r="R9" s="981"/>
      <c r="S9" s="981"/>
      <c r="T9" s="3" t="s">
        <v>686</v>
      </c>
    </row>
    <row r="10" spans="2:20" s="894" customFormat="1" ht="12" customHeight="1" x14ac:dyDescent="0.25">
      <c r="B10" s="973" t="s">
        <v>782</v>
      </c>
      <c r="C10" s="973" t="s">
        <v>783</v>
      </c>
      <c r="D10" s="973" t="s">
        <v>784</v>
      </c>
      <c r="E10" s="966">
        <v>2450</v>
      </c>
      <c r="F10" s="966">
        <v>2450</v>
      </c>
      <c r="G10" s="966">
        <v>2450</v>
      </c>
      <c r="H10" s="967">
        <v>0</v>
      </c>
      <c r="I10" s="973" t="s">
        <v>781</v>
      </c>
      <c r="J10" s="970"/>
      <c r="K10" s="969">
        <v>46047</v>
      </c>
      <c r="L10" s="969">
        <v>46066</v>
      </c>
      <c r="M10" s="973" t="s">
        <v>719</v>
      </c>
      <c r="N10" s="970"/>
      <c r="O10" s="970"/>
      <c r="P10" s="970"/>
      <c r="Q10" s="969">
        <v>45943</v>
      </c>
      <c r="R10" s="969">
        <v>46066</v>
      </c>
      <c r="S10" s="969">
        <v>46458</v>
      </c>
    </row>
    <row r="11" spans="2:20" s="894" customFormat="1" ht="12" customHeight="1" x14ac:dyDescent="0.25">
      <c r="B11" s="973" t="s">
        <v>785</v>
      </c>
      <c r="C11" s="973" t="s">
        <v>786</v>
      </c>
      <c r="D11" s="973" t="s">
        <v>787</v>
      </c>
      <c r="E11" s="966">
        <v>2450</v>
      </c>
      <c r="F11" s="966">
        <v>2450</v>
      </c>
      <c r="G11" s="966">
        <v>2450</v>
      </c>
      <c r="H11" s="967">
        <v>0</v>
      </c>
      <c r="I11" s="973" t="s">
        <v>781</v>
      </c>
      <c r="J11" s="970"/>
      <c r="K11" s="969">
        <v>45993</v>
      </c>
      <c r="L11" s="969">
        <v>45993</v>
      </c>
      <c r="M11" s="973" t="s">
        <v>719</v>
      </c>
      <c r="N11" s="970"/>
      <c r="O11" s="970"/>
      <c r="P11" s="970"/>
      <c r="Q11" s="969">
        <v>45950</v>
      </c>
      <c r="R11" s="969">
        <v>45993</v>
      </c>
      <c r="S11" s="969">
        <v>46447</v>
      </c>
    </row>
    <row r="12" spans="2:20" s="894" customFormat="1" ht="12" customHeight="1" x14ac:dyDescent="0.25">
      <c r="B12" s="973" t="s">
        <v>788</v>
      </c>
      <c r="C12" s="973" t="s">
        <v>789</v>
      </c>
      <c r="D12" s="973" t="s">
        <v>790</v>
      </c>
      <c r="E12" s="966">
        <v>2450</v>
      </c>
      <c r="F12" s="966">
        <v>2450</v>
      </c>
      <c r="G12" s="966">
        <v>2450</v>
      </c>
      <c r="H12" s="967">
        <v>0</v>
      </c>
      <c r="I12" s="973" t="s">
        <v>781</v>
      </c>
      <c r="J12" s="970"/>
      <c r="K12" s="969">
        <v>45863</v>
      </c>
      <c r="L12" s="969">
        <v>45865</v>
      </c>
      <c r="M12" s="973" t="s">
        <v>719</v>
      </c>
      <c r="N12" s="970"/>
      <c r="O12" s="970"/>
      <c r="P12" s="970"/>
      <c r="Q12" s="969">
        <v>45778</v>
      </c>
      <c r="R12" s="969">
        <v>45865</v>
      </c>
      <c r="S12" s="969">
        <v>46321</v>
      </c>
    </row>
    <row r="13" spans="2:20" s="894" customFormat="1" ht="12" customHeight="1" x14ac:dyDescent="0.25">
      <c r="B13" s="973" t="s">
        <v>791</v>
      </c>
      <c r="C13" s="973" t="s">
        <v>792</v>
      </c>
      <c r="D13" s="973" t="s">
        <v>793</v>
      </c>
      <c r="E13" s="966">
        <v>2450</v>
      </c>
      <c r="F13" s="966">
        <v>2450</v>
      </c>
      <c r="G13" s="966">
        <v>2450</v>
      </c>
      <c r="H13" s="967">
        <v>0</v>
      </c>
      <c r="I13" s="973" t="s">
        <v>781</v>
      </c>
      <c r="J13" s="970"/>
      <c r="K13" s="969">
        <v>45911</v>
      </c>
      <c r="L13" s="969">
        <v>45916</v>
      </c>
      <c r="M13" s="973" t="s">
        <v>719</v>
      </c>
      <c r="N13" s="970"/>
      <c r="O13" s="970"/>
      <c r="P13" s="970"/>
      <c r="Q13" s="969">
        <v>45916</v>
      </c>
      <c r="R13" s="969">
        <v>45916</v>
      </c>
      <c r="S13" s="969">
        <v>46371</v>
      </c>
    </row>
    <row r="14" spans="2:20" s="894" customFormat="1" ht="12" customHeight="1" x14ac:dyDescent="0.25">
      <c r="B14" s="973" t="s">
        <v>794</v>
      </c>
      <c r="C14" s="973" t="s">
        <v>795</v>
      </c>
      <c r="D14" s="973" t="s">
        <v>796</v>
      </c>
      <c r="E14" s="966">
        <v>2450</v>
      </c>
      <c r="F14" s="966">
        <v>2450</v>
      </c>
      <c r="G14" s="967">
        <v>500</v>
      </c>
      <c r="H14" s="967">
        <v>0</v>
      </c>
      <c r="I14" s="973" t="s">
        <v>781</v>
      </c>
      <c r="J14" s="970"/>
      <c r="K14" s="969">
        <v>45923</v>
      </c>
      <c r="L14" s="969">
        <v>45999</v>
      </c>
      <c r="M14" s="973" t="s">
        <v>719</v>
      </c>
      <c r="N14" s="970"/>
      <c r="O14" s="970"/>
      <c r="P14" s="970"/>
      <c r="Q14" s="969">
        <v>45961</v>
      </c>
      <c r="R14" s="969">
        <v>45999</v>
      </c>
      <c r="S14" s="969">
        <v>46394</v>
      </c>
    </row>
    <row r="15" spans="2:20" x14ac:dyDescent="0.25">
      <c r="B15" s="973" t="s">
        <v>797</v>
      </c>
      <c r="C15" s="973" t="s">
        <v>798</v>
      </c>
      <c r="D15" s="973" t="s">
        <v>799</v>
      </c>
      <c r="E15" s="966">
        <v>2450</v>
      </c>
      <c r="F15" s="966">
        <v>2450</v>
      </c>
      <c r="G15" s="967">
        <v>500</v>
      </c>
      <c r="H15" s="967">
        <v>0</v>
      </c>
      <c r="I15" s="973" t="s">
        <v>781</v>
      </c>
      <c r="J15" s="970"/>
      <c r="K15" s="969">
        <v>45754</v>
      </c>
      <c r="L15" s="969">
        <v>45829</v>
      </c>
      <c r="M15" s="973" t="s">
        <v>719</v>
      </c>
      <c r="N15" s="970"/>
      <c r="O15" s="970"/>
      <c r="P15" s="970"/>
      <c r="Q15" s="969">
        <v>45821</v>
      </c>
      <c r="R15" s="969">
        <v>45829</v>
      </c>
      <c r="S15" s="969">
        <v>46223</v>
      </c>
    </row>
    <row r="16" spans="2:20" x14ac:dyDescent="0.25">
      <c r="B16" s="973" t="s">
        <v>800</v>
      </c>
      <c r="C16" s="973" t="s">
        <v>801</v>
      </c>
      <c r="D16" s="973" t="s">
        <v>802</v>
      </c>
      <c r="E16" s="966">
        <v>2450</v>
      </c>
      <c r="F16" s="966">
        <v>2450</v>
      </c>
      <c r="G16" s="966">
        <v>1000</v>
      </c>
      <c r="H16" s="967">
        <v>0</v>
      </c>
      <c r="I16" s="973" t="s">
        <v>781</v>
      </c>
      <c r="J16" s="970"/>
      <c r="K16" s="969">
        <v>45754</v>
      </c>
      <c r="L16" s="969">
        <v>45878</v>
      </c>
      <c r="M16" s="973" t="s">
        <v>719</v>
      </c>
      <c r="N16" s="970"/>
      <c r="O16" s="970"/>
      <c r="P16" s="970"/>
      <c r="Q16" s="969">
        <v>45744</v>
      </c>
      <c r="R16" s="969">
        <v>45878</v>
      </c>
      <c r="S16" s="969">
        <v>46334</v>
      </c>
    </row>
    <row r="17" spans="2:19" ht="22.5" x14ac:dyDescent="0.25">
      <c r="B17" s="973" t="s">
        <v>570</v>
      </c>
      <c r="C17" s="973" t="s">
        <v>571</v>
      </c>
      <c r="D17" s="973" t="s">
        <v>572</v>
      </c>
      <c r="E17" s="966">
        <v>2450</v>
      </c>
      <c r="F17" s="966">
        <v>2450</v>
      </c>
      <c r="G17" s="966">
        <v>2450</v>
      </c>
      <c r="H17" s="967">
        <v>0</v>
      </c>
      <c r="I17" s="973" t="s">
        <v>569</v>
      </c>
      <c r="J17" s="970"/>
      <c r="K17" s="969">
        <v>45754</v>
      </c>
      <c r="L17" s="969">
        <v>45782</v>
      </c>
      <c r="M17" s="973" t="s">
        <v>556</v>
      </c>
      <c r="N17" s="970"/>
      <c r="O17" s="970"/>
      <c r="P17" s="970"/>
      <c r="Q17" s="969">
        <v>45757</v>
      </c>
      <c r="R17" s="969">
        <v>45782</v>
      </c>
      <c r="S17" s="969">
        <v>46177</v>
      </c>
    </row>
    <row r="18" spans="2:19" ht="22.5" x14ac:dyDescent="0.25">
      <c r="B18" s="973" t="s">
        <v>573</v>
      </c>
      <c r="C18" s="973" t="s">
        <v>574</v>
      </c>
      <c r="D18" s="973" t="s">
        <v>575</v>
      </c>
      <c r="E18" s="966">
        <v>2450</v>
      </c>
      <c r="F18" s="966">
        <v>2450</v>
      </c>
      <c r="G18" s="966">
        <v>1000</v>
      </c>
      <c r="H18" s="967">
        <v>0</v>
      </c>
      <c r="I18" s="973" t="s">
        <v>569</v>
      </c>
      <c r="J18" s="970"/>
      <c r="K18" s="969">
        <v>45754</v>
      </c>
      <c r="L18" s="969">
        <v>45777</v>
      </c>
      <c r="M18" s="973" t="s">
        <v>556</v>
      </c>
      <c r="N18" s="970"/>
      <c r="O18" s="970"/>
      <c r="P18" s="970"/>
      <c r="Q18" s="969">
        <v>45758</v>
      </c>
      <c r="R18" s="969">
        <v>45777</v>
      </c>
      <c r="S18" s="969">
        <v>46232</v>
      </c>
    </row>
    <row r="19" spans="2:19" ht="22.5" x14ac:dyDescent="0.25">
      <c r="B19" s="973" t="s">
        <v>576</v>
      </c>
      <c r="C19" s="973" t="s">
        <v>577</v>
      </c>
      <c r="D19" s="973" t="s">
        <v>578</v>
      </c>
      <c r="E19" s="966">
        <v>2450</v>
      </c>
      <c r="F19" s="966">
        <v>2450</v>
      </c>
      <c r="G19" s="966">
        <v>2450</v>
      </c>
      <c r="H19" s="967">
        <v>0</v>
      </c>
      <c r="I19" s="973" t="s">
        <v>569</v>
      </c>
      <c r="J19" s="970"/>
      <c r="K19" s="969">
        <v>45772</v>
      </c>
      <c r="L19" s="969">
        <v>45800</v>
      </c>
      <c r="M19" s="973" t="s">
        <v>556</v>
      </c>
      <c r="N19" s="970"/>
      <c r="O19" s="970"/>
      <c r="P19" s="970"/>
      <c r="Q19" s="969">
        <v>45797</v>
      </c>
      <c r="R19" s="969">
        <v>45800</v>
      </c>
      <c r="S19" s="969">
        <v>46195</v>
      </c>
    </row>
    <row r="20" spans="2:19" x14ac:dyDescent="0.25">
      <c r="B20" s="973" t="s">
        <v>579</v>
      </c>
      <c r="C20" s="973" t="s">
        <v>580</v>
      </c>
      <c r="D20" s="973" t="s">
        <v>581</v>
      </c>
      <c r="E20" s="966">
        <v>2450</v>
      </c>
      <c r="F20" s="966">
        <v>2450</v>
      </c>
      <c r="G20" s="967">
        <v>500</v>
      </c>
      <c r="H20" s="967">
        <v>0</v>
      </c>
      <c r="I20" s="973" t="s">
        <v>569</v>
      </c>
      <c r="J20" s="970"/>
      <c r="K20" s="969">
        <v>45859</v>
      </c>
      <c r="L20" s="969">
        <v>45870</v>
      </c>
      <c r="M20" s="973" t="s">
        <v>556</v>
      </c>
      <c r="N20" s="970"/>
      <c r="O20" s="970"/>
      <c r="P20" s="970"/>
      <c r="Q20" s="969">
        <v>45856</v>
      </c>
      <c r="R20" s="969">
        <v>45870</v>
      </c>
      <c r="S20" s="969">
        <v>46265</v>
      </c>
    </row>
    <row r="21" spans="2:19" ht="22.5" x14ac:dyDescent="0.25">
      <c r="B21" s="973" t="s">
        <v>582</v>
      </c>
      <c r="C21" s="973" t="s">
        <v>583</v>
      </c>
      <c r="D21" s="973" t="s">
        <v>584</v>
      </c>
      <c r="E21" s="966">
        <v>2450</v>
      </c>
      <c r="F21" s="966">
        <v>2450</v>
      </c>
      <c r="G21" s="967">
        <v>500</v>
      </c>
      <c r="H21" s="967">
        <v>0</v>
      </c>
      <c r="I21" s="973" t="s">
        <v>569</v>
      </c>
      <c r="J21" s="970"/>
      <c r="K21" s="969">
        <v>45804</v>
      </c>
      <c r="L21" s="969">
        <v>45836</v>
      </c>
      <c r="M21" s="973" t="s">
        <v>556</v>
      </c>
      <c r="N21" s="970"/>
      <c r="O21" s="970"/>
      <c r="P21" s="970"/>
      <c r="Q21" s="969">
        <v>45834</v>
      </c>
      <c r="R21" s="969">
        <v>45836</v>
      </c>
      <c r="S21" s="969">
        <v>46230</v>
      </c>
    </row>
    <row r="22" spans="2:19" ht="22.5" x14ac:dyDescent="0.25">
      <c r="B22" s="973" t="s">
        <v>585</v>
      </c>
      <c r="C22" s="973" t="s">
        <v>586</v>
      </c>
      <c r="D22" s="973" t="s">
        <v>587</v>
      </c>
      <c r="E22" s="966">
        <v>2450</v>
      </c>
      <c r="F22" s="966">
        <v>2450</v>
      </c>
      <c r="G22" s="967">
        <v>500</v>
      </c>
      <c r="H22" s="967">
        <v>0</v>
      </c>
      <c r="I22" s="973" t="s">
        <v>569</v>
      </c>
      <c r="J22" s="970"/>
      <c r="K22" s="969">
        <v>45793</v>
      </c>
      <c r="L22" s="969">
        <v>45856</v>
      </c>
      <c r="M22" s="973" t="s">
        <v>556</v>
      </c>
      <c r="N22" s="970"/>
      <c r="O22" s="970"/>
      <c r="P22" s="970"/>
      <c r="Q22" s="969">
        <v>45854</v>
      </c>
      <c r="R22" s="969">
        <v>45856</v>
      </c>
      <c r="S22" s="969">
        <v>46312</v>
      </c>
    </row>
    <row r="23" spans="2:19" x14ac:dyDescent="0.25">
      <c r="B23" s="973" t="s">
        <v>588</v>
      </c>
      <c r="C23" s="973" t="s">
        <v>589</v>
      </c>
      <c r="D23" s="973" t="s">
        <v>590</v>
      </c>
      <c r="E23" s="966">
        <v>2450</v>
      </c>
      <c r="F23" s="966">
        <v>2450</v>
      </c>
      <c r="G23" s="966">
        <v>1000</v>
      </c>
      <c r="H23" s="967">
        <v>0</v>
      </c>
      <c r="I23" s="973" t="s">
        <v>569</v>
      </c>
      <c r="J23" s="970"/>
      <c r="K23" s="969">
        <v>45860</v>
      </c>
      <c r="L23" s="969">
        <v>45863</v>
      </c>
      <c r="M23" s="973" t="s">
        <v>556</v>
      </c>
      <c r="N23" s="970"/>
      <c r="O23" s="970"/>
      <c r="P23" s="970"/>
      <c r="Q23" s="969">
        <v>45729</v>
      </c>
      <c r="R23" s="969">
        <v>45863</v>
      </c>
      <c r="S23" s="969">
        <v>46227</v>
      </c>
    </row>
    <row r="24" spans="2:19" x14ac:dyDescent="0.25">
      <c r="B24" s="973" t="s">
        <v>591</v>
      </c>
      <c r="C24" s="973" t="s">
        <v>592</v>
      </c>
      <c r="D24" s="973" t="s">
        <v>593</v>
      </c>
      <c r="E24" s="966">
        <v>2450</v>
      </c>
      <c r="F24" s="966">
        <v>2450</v>
      </c>
      <c r="G24" s="966">
        <v>1000</v>
      </c>
      <c r="H24" s="967">
        <v>0</v>
      </c>
      <c r="I24" s="973" t="s">
        <v>569</v>
      </c>
      <c r="J24" s="970"/>
      <c r="K24" s="969">
        <v>45807</v>
      </c>
      <c r="L24" s="969">
        <v>45819</v>
      </c>
      <c r="M24" s="973" t="s">
        <v>556</v>
      </c>
      <c r="N24" s="970"/>
      <c r="O24" s="970"/>
      <c r="P24" s="970"/>
      <c r="Q24" s="969">
        <v>45812</v>
      </c>
      <c r="R24" s="969">
        <v>45819</v>
      </c>
      <c r="S24" s="969">
        <v>46213</v>
      </c>
    </row>
    <row r="25" spans="2:19" ht="22.5" x14ac:dyDescent="0.25">
      <c r="B25" s="973" t="s">
        <v>594</v>
      </c>
      <c r="C25" s="973" t="s">
        <v>595</v>
      </c>
      <c r="D25" s="973" t="s">
        <v>596</v>
      </c>
      <c r="E25" s="966">
        <v>2450</v>
      </c>
      <c r="F25" s="966">
        <v>2450</v>
      </c>
      <c r="G25" s="966">
        <v>1000</v>
      </c>
      <c r="H25" s="967">
        <v>0</v>
      </c>
      <c r="I25" s="973" t="s">
        <v>569</v>
      </c>
      <c r="J25" s="980"/>
      <c r="K25" s="969">
        <v>45966</v>
      </c>
      <c r="L25" s="969">
        <v>45997</v>
      </c>
      <c r="M25" s="973" t="s">
        <v>556</v>
      </c>
      <c r="N25" s="980"/>
      <c r="O25" s="980"/>
      <c r="P25" s="980"/>
      <c r="Q25" s="969">
        <v>45993</v>
      </c>
      <c r="R25" s="969">
        <v>45997</v>
      </c>
      <c r="S25" s="969">
        <v>46392</v>
      </c>
    </row>
    <row r="26" spans="2:19" ht="22.5" x14ac:dyDescent="0.25">
      <c r="B26" s="973" t="s">
        <v>690</v>
      </c>
      <c r="C26" s="973" t="s">
        <v>554</v>
      </c>
      <c r="D26" s="973" t="s">
        <v>555</v>
      </c>
      <c r="E26" s="966">
        <v>2750</v>
      </c>
      <c r="F26" s="966">
        <v>2750</v>
      </c>
      <c r="G26" s="967">
        <v>500</v>
      </c>
      <c r="H26" s="967">
        <v>0</v>
      </c>
      <c r="I26" s="973" t="s">
        <v>569</v>
      </c>
      <c r="J26" s="970"/>
      <c r="K26" s="969">
        <v>46014</v>
      </c>
      <c r="L26" s="969">
        <v>46085</v>
      </c>
      <c r="M26" s="973" t="s">
        <v>556</v>
      </c>
      <c r="N26" s="970"/>
      <c r="O26" s="970"/>
      <c r="P26" s="970"/>
      <c r="Q26" s="969">
        <v>46041</v>
      </c>
      <c r="R26" s="969">
        <v>46085</v>
      </c>
      <c r="S26" s="969">
        <v>46541</v>
      </c>
    </row>
    <row r="27" spans="2:19" x14ac:dyDescent="0.25">
      <c r="B27" s="973" t="s">
        <v>597</v>
      </c>
      <c r="C27" s="973" t="s">
        <v>598</v>
      </c>
      <c r="D27" s="973" t="s">
        <v>599</v>
      </c>
      <c r="E27" s="966">
        <v>2950</v>
      </c>
      <c r="F27" s="966">
        <v>2750</v>
      </c>
      <c r="G27" s="966">
        <v>2950</v>
      </c>
      <c r="H27" s="967">
        <v>0</v>
      </c>
      <c r="I27" s="973" t="s">
        <v>569</v>
      </c>
      <c r="J27" s="970"/>
      <c r="K27" s="969">
        <v>45856</v>
      </c>
      <c r="L27" s="969">
        <v>45856</v>
      </c>
      <c r="M27" s="973" t="s">
        <v>556</v>
      </c>
      <c r="N27" s="970"/>
      <c r="O27" s="970"/>
      <c r="P27" s="970"/>
      <c r="Q27" s="969">
        <v>45770</v>
      </c>
      <c r="R27" s="969">
        <v>45856</v>
      </c>
      <c r="S27" s="969">
        <v>46251</v>
      </c>
    </row>
    <row r="28" spans="2:19" ht="22.5" x14ac:dyDescent="0.25">
      <c r="B28" s="973" t="s">
        <v>600</v>
      </c>
      <c r="C28" s="973" t="s">
        <v>601</v>
      </c>
      <c r="D28" s="973" t="s">
        <v>602</v>
      </c>
      <c r="E28" s="966">
        <v>2750</v>
      </c>
      <c r="F28" s="966">
        <v>2750</v>
      </c>
      <c r="G28" s="967">
        <v>500</v>
      </c>
      <c r="H28" s="967">
        <v>0</v>
      </c>
      <c r="I28" s="973" t="s">
        <v>569</v>
      </c>
      <c r="J28" s="970"/>
      <c r="K28" s="969">
        <v>45923</v>
      </c>
      <c r="L28" s="969">
        <v>46028</v>
      </c>
      <c r="M28" s="973" t="s">
        <v>556</v>
      </c>
      <c r="N28" s="970"/>
      <c r="O28" s="970"/>
      <c r="P28" s="970"/>
      <c r="Q28" s="969">
        <v>46025</v>
      </c>
      <c r="R28" s="969">
        <v>46028</v>
      </c>
      <c r="S28" s="969">
        <v>46482</v>
      </c>
    </row>
    <row r="29" spans="2:19" ht="22.5" x14ac:dyDescent="0.25">
      <c r="B29" s="973" t="s">
        <v>603</v>
      </c>
      <c r="C29" s="973" t="s">
        <v>604</v>
      </c>
      <c r="D29" s="973" t="s">
        <v>605</v>
      </c>
      <c r="E29" s="966">
        <v>2750</v>
      </c>
      <c r="F29" s="966">
        <v>2750</v>
      </c>
      <c r="G29" s="967">
        <v>500</v>
      </c>
      <c r="H29" s="967">
        <v>0</v>
      </c>
      <c r="I29" s="973" t="s">
        <v>569</v>
      </c>
      <c r="J29" s="970"/>
      <c r="K29" s="969">
        <v>45923</v>
      </c>
      <c r="L29" s="969">
        <v>45941</v>
      </c>
      <c r="M29" s="973" t="s">
        <v>556</v>
      </c>
      <c r="N29" s="970"/>
      <c r="O29" s="970"/>
      <c r="P29" s="970"/>
      <c r="Q29" s="969">
        <v>45856</v>
      </c>
      <c r="R29" s="969">
        <v>45941</v>
      </c>
      <c r="S29" s="969">
        <v>46366</v>
      </c>
    </row>
    <row r="30" spans="2:19" ht="22.5" x14ac:dyDescent="0.25">
      <c r="B30" s="973" t="s">
        <v>606</v>
      </c>
      <c r="C30" s="973" t="s">
        <v>607</v>
      </c>
      <c r="D30" s="973" t="s">
        <v>608</v>
      </c>
      <c r="E30" s="966">
        <v>2750</v>
      </c>
      <c r="F30" s="966">
        <v>2750</v>
      </c>
      <c r="G30" s="966">
        <v>2750</v>
      </c>
      <c r="H30" s="967">
        <v>0</v>
      </c>
      <c r="I30" s="973" t="s">
        <v>569</v>
      </c>
      <c r="J30" s="970"/>
      <c r="K30" s="969">
        <v>45923</v>
      </c>
      <c r="L30" s="969">
        <v>45965</v>
      </c>
      <c r="M30" s="973" t="s">
        <v>556</v>
      </c>
      <c r="N30" s="970"/>
      <c r="O30" s="970"/>
      <c r="P30" s="970"/>
      <c r="Q30" s="969">
        <v>45943</v>
      </c>
      <c r="R30" s="969">
        <v>45965</v>
      </c>
      <c r="S30" s="969">
        <v>46359</v>
      </c>
    </row>
    <row r="31" spans="2:19" x14ac:dyDescent="0.25">
      <c r="B31" s="973" t="s">
        <v>609</v>
      </c>
      <c r="C31" s="973" t="s">
        <v>610</v>
      </c>
      <c r="D31" s="973" t="s">
        <v>611</v>
      </c>
      <c r="E31" s="966">
        <v>2950</v>
      </c>
      <c r="F31" s="966">
        <v>2750</v>
      </c>
      <c r="G31" s="966">
        <v>1000</v>
      </c>
      <c r="H31" s="967">
        <v>0</v>
      </c>
      <c r="I31" s="973" t="s">
        <v>569</v>
      </c>
      <c r="J31" s="970"/>
      <c r="K31" s="969">
        <v>45754</v>
      </c>
      <c r="L31" s="969">
        <v>45809</v>
      </c>
      <c r="M31" s="973" t="s">
        <v>556</v>
      </c>
      <c r="N31" s="970"/>
      <c r="O31" s="970"/>
      <c r="P31" s="970"/>
      <c r="Q31" s="969">
        <v>45804</v>
      </c>
      <c r="R31" s="969">
        <v>45809</v>
      </c>
      <c r="S31" s="969">
        <v>46568</v>
      </c>
    </row>
    <row r="32" spans="2:19" ht="21" x14ac:dyDescent="0.25">
      <c r="B32" s="973" t="s">
        <v>612</v>
      </c>
      <c r="C32" s="973" t="s">
        <v>613</v>
      </c>
      <c r="D32" s="973" t="s">
        <v>614</v>
      </c>
      <c r="E32" s="966">
        <v>2327</v>
      </c>
      <c r="F32" s="966">
        <v>2327</v>
      </c>
      <c r="G32" s="967">
        <v>500</v>
      </c>
      <c r="H32" s="967">
        <v>0</v>
      </c>
      <c r="I32" s="973" t="s">
        <v>569</v>
      </c>
      <c r="J32" s="970"/>
      <c r="K32" s="969">
        <v>45793</v>
      </c>
      <c r="L32" s="969">
        <v>45839</v>
      </c>
      <c r="M32" s="973" t="s">
        <v>556</v>
      </c>
      <c r="N32" s="970"/>
      <c r="O32" s="970"/>
      <c r="P32" s="970"/>
      <c r="Q32" s="969">
        <v>45838</v>
      </c>
      <c r="R32" s="969">
        <v>45839</v>
      </c>
      <c r="S32" s="969">
        <v>46234</v>
      </c>
    </row>
    <row r="33" spans="2:19" ht="21" x14ac:dyDescent="0.25">
      <c r="B33" s="973" t="s">
        <v>615</v>
      </c>
      <c r="C33" s="973" t="s">
        <v>616</v>
      </c>
      <c r="D33" s="973" t="s">
        <v>617</v>
      </c>
      <c r="E33" s="966">
        <v>2750</v>
      </c>
      <c r="F33" s="966">
        <v>2750</v>
      </c>
      <c r="G33" s="967">
        <v>500</v>
      </c>
      <c r="H33" s="967">
        <v>0</v>
      </c>
      <c r="I33" s="973" t="s">
        <v>569</v>
      </c>
      <c r="J33" s="970"/>
      <c r="K33" s="969">
        <v>45793</v>
      </c>
      <c r="L33" s="969">
        <v>46014</v>
      </c>
      <c r="M33" s="973" t="s">
        <v>556</v>
      </c>
      <c r="N33" s="970"/>
      <c r="O33" s="970"/>
      <c r="P33" s="970"/>
      <c r="Q33" s="969">
        <v>46013</v>
      </c>
      <c r="R33" s="969">
        <v>46014</v>
      </c>
      <c r="S33" s="969">
        <v>46409</v>
      </c>
    </row>
    <row r="34" spans="2:19" x14ac:dyDescent="0.25">
      <c r="B34" s="973" t="s">
        <v>618</v>
      </c>
      <c r="C34" s="973" t="s">
        <v>619</v>
      </c>
      <c r="D34" s="973" t="s">
        <v>620</v>
      </c>
      <c r="E34" s="966">
        <v>2750</v>
      </c>
      <c r="F34" s="966">
        <v>2750</v>
      </c>
      <c r="G34" s="967">
        <v>500</v>
      </c>
      <c r="H34" s="967">
        <v>0</v>
      </c>
      <c r="I34" s="973" t="s">
        <v>569</v>
      </c>
      <c r="J34" s="970"/>
      <c r="K34" s="969">
        <v>45807</v>
      </c>
      <c r="L34" s="969">
        <v>46003</v>
      </c>
      <c r="M34" s="973" t="s">
        <v>556</v>
      </c>
      <c r="N34" s="970"/>
      <c r="O34" s="970"/>
      <c r="P34" s="970"/>
      <c r="Q34" s="969">
        <v>45994</v>
      </c>
      <c r="R34" s="969">
        <v>46003</v>
      </c>
      <c r="S34" s="969">
        <v>46398</v>
      </c>
    </row>
    <row r="35" spans="2:19" ht="21" x14ac:dyDescent="0.25">
      <c r="B35" s="973" t="s">
        <v>621</v>
      </c>
      <c r="C35" s="973" t="s">
        <v>622</v>
      </c>
      <c r="D35" s="973" t="s">
        <v>623</v>
      </c>
      <c r="E35" s="966">
        <v>2750</v>
      </c>
      <c r="F35" s="966">
        <v>2750</v>
      </c>
      <c r="G35" s="967">
        <v>500</v>
      </c>
      <c r="H35" s="967">
        <v>0</v>
      </c>
      <c r="I35" s="973" t="s">
        <v>569</v>
      </c>
      <c r="J35" s="970"/>
      <c r="K35" s="969">
        <v>45807</v>
      </c>
      <c r="L35" s="969">
        <v>45985</v>
      </c>
      <c r="M35" s="973" t="s">
        <v>556</v>
      </c>
      <c r="N35" s="970"/>
      <c r="O35" s="970"/>
      <c r="P35" s="970"/>
      <c r="Q35" s="969">
        <v>45948</v>
      </c>
      <c r="R35" s="969">
        <v>45985</v>
      </c>
      <c r="S35" s="969">
        <v>46379</v>
      </c>
    </row>
    <row r="36" spans="2:19" x14ac:dyDescent="0.25">
      <c r="B36" s="973" t="s">
        <v>624</v>
      </c>
      <c r="C36" s="973" t="s">
        <v>625</v>
      </c>
      <c r="D36" s="973" t="s">
        <v>626</v>
      </c>
      <c r="E36" s="966">
        <v>2750</v>
      </c>
      <c r="F36" s="966">
        <v>2750</v>
      </c>
      <c r="G36" s="966">
        <v>2750</v>
      </c>
      <c r="H36" s="967">
        <v>0</v>
      </c>
      <c r="I36" s="973" t="s">
        <v>569</v>
      </c>
      <c r="J36" s="970"/>
      <c r="K36" s="969">
        <v>45891</v>
      </c>
      <c r="L36" s="969">
        <v>45983</v>
      </c>
      <c r="M36" s="973" t="s">
        <v>556</v>
      </c>
      <c r="N36" s="970"/>
      <c r="O36" s="970"/>
      <c r="P36" s="970"/>
      <c r="Q36" s="969">
        <v>45966</v>
      </c>
      <c r="R36" s="969">
        <v>45983</v>
      </c>
      <c r="S36" s="969">
        <v>46377</v>
      </c>
    </row>
    <row r="37" spans="2:19" x14ac:dyDescent="0.25">
      <c r="B37" s="973" t="s">
        <v>627</v>
      </c>
      <c r="C37" s="973" t="s">
        <v>628</v>
      </c>
      <c r="D37" s="973" t="s">
        <v>629</v>
      </c>
      <c r="E37" s="966">
        <v>2750</v>
      </c>
      <c r="F37" s="966">
        <v>2750</v>
      </c>
      <c r="G37" s="967">
        <v>500</v>
      </c>
      <c r="H37" s="967">
        <v>0</v>
      </c>
      <c r="I37" s="973" t="s">
        <v>569</v>
      </c>
      <c r="J37" s="970"/>
      <c r="K37" s="969">
        <v>45966</v>
      </c>
      <c r="L37" s="969">
        <v>46032</v>
      </c>
      <c r="M37" s="973" t="s">
        <v>556</v>
      </c>
      <c r="N37" s="970"/>
      <c r="O37" s="970"/>
      <c r="P37" s="970"/>
      <c r="Q37" s="969">
        <v>46025</v>
      </c>
      <c r="R37" s="969">
        <v>46032</v>
      </c>
      <c r="S37" s="969">
        <v>46486</v>
      </c>
    </row>
    <row r="38" spans="2:19" ht="21" x14ac:dyDescent="0.25">
      <c r="B38" s="973" t="s">
        <v>769</v>
      </c>
      <c r="C38" s="973" t="s">
        <v>770</v>
      </c>
      <c r="D38" s="973" t="s">
        <v>771</v>
      </c>
      <c r="E38" s="966">
        <v>2750</v>
      </c>
      <c r="F38" s="966">
        <v>2750</v>
      </c>
      <c r="G38" s="967">
        <v>500</v>
      </c>
      <c r="H38" s="967">
        <v>0</v>
      </c>
      <c r="I38" s="973" t="s">
        <v>569</v>
      </c>
      <c r="J38" s="980"/>
      <c r="K38" s="969">
        <v>46031</v>
      </c>
      <c r="L38" s="969">
        <v>46108</v>
      </c>
      <c r="M38" s="973" t="s">
        <v>556</v>
      </c>
      <c r="N38" s="980"/>
      <c r="O38" s="980"/>
      <c r="P38" s="980"/>
      <c r="Q38" s="969">
        <v>46041</v>
      </c>
      <c r="R38" s="969">
        <v>46108</v>
      </c>
      <c r="S38" s="969">
        <v>46564</v>
      </c>
    </row>
    <row r="39" spans="2:19" ht="21" x14ac:dyDescent="0.25">
      <c r="B39" s="973" t="s">
        <v>630</v>
      </c>
      <c r="C39" s="973" t="s">
        <v>631</v>
      </c>
      <c r="D39" s="973" t="s">
        <v>632</v>
      </c>
      <c r="E39" s="966">
        <v>2750</v>
      </c>
      <c r="F39" s="966">
        <v>2750</v>
      </c>
      <c r="G39" s="967">
        <v>500</v>
      </c>
      <c r="H39" s="967">
        <v>0</v>
      </c>
      <c r="I39" s="973" t="s">
        <v>569</v>
      </c>
      <c r="J39" s="970"/>
      <c r="K39" s="969">
        <v>45966</v>
      </c>
      <c r="L39" s="969">
        <v>46053</v>
      </c>
      <c r="M39" s="973" t="s">
        <v>556</v>
      </c>
      <c r="N39" s="970"/>
      <c r="O39" s="970"/>
      <c r="P39" s="970"/>
      <c r="Q39" s="969">
        <v>46052</v>
      </c>
      <c r="R39" s="969">
        <v>46053</v>
      </c>
      <c r="S39" s="969">
        <v>46446</v>
      </c>
    </row>
    <row r="40" spans="2:19" x14ac:dyDescent="0.25">
      <c r="B40" s="973" t="s">
        <v>633</v>
      </c>
      <c r="C40" s="973" t="s">
        <v>634</v>
      </c>
      <c r="D40" s="973" t="s">
        <v>635</v>
      </c>
      <c r="E40" s="966">
        <v>2750</v>
      </c>
      <c r="F40" s="966">
        <v>2750</v>
      </c>
      <c r="G40" s="967">
        <v>500</v>
      </c>
      <c r="H40" s="967">
        <v>0</v>
      </c>
      <c r="I40" s="973" t="s">
        <v>569</v>
      </c>
      <c r="J40" s="970"/>
      <c r="K40" s="969">
        <v>46031</v>
      </c>
      <c r="L40" s="969">
        <v>46067</v>
      </c>
      <c r="M40" s="973" t="s">
        <v>556</v>
      </c>
      <c r="N40" s="970"/>
      <c r="O40" s="970"/>
      <c r="P40" s="970"/>
      <c r="Q40" s="969">
        <v>46039</v>
      </c>
      <c r="R40" s="969">
        <v>46067</v>
      </c>
      <c r="S40" s="969">
        <v>46459</v>
      </c>
    </row>
    <row r="41" spans="2:19" x14ac:dyDescent="0.25">
      <c r="B41" s="973" t="s">
        <v>636</v>
      </c>
      <c r="C41" s="973" t="s">
        <v>637</v>
      </c>
      <c r="D41" s="973" t="s">
        <v>638</v>
      </c>
      <c r="E41" s="966">
        <v>2750</v>
      </c>
      <c r="F41" s="966">
        <v>2750</v>
      </c>
      <c r="G41" s="967">
        <v>500</v>
      </c>
      <c r="H41" s="967">
        <v>0</v>
      </c>
      <c r="I41" s="973" t="s">
        <v>569</v>
      </c>
      <c r="J41" s="970"/>
      <c r="K41" s="969">
        <v>46014</v>
      </c>
      <c r="L41" s="969">
        <v>46037</v>
      </c>
      <c r="M41" s="973" t="s">
        <v>556</v>
      </c>
      <c r="N41" s="970"/>
      <c r="O41" s="970"/>
      <c r="P41" s="970"/>
      <c r="Q41" s="969">
        <v>46025</v>
      </c>
      <c r="R41" s="969">
        <v>46037</v>
      </c>
      <c r="S41" s="969">
        <v>46432</v>
      </c>
    </row>
    <row r="42" spans="2:19" x14ac:dyDescent="0.25">
      <c r="B42" s="973" t="s">
        <v>639</v>
      </c>
      <c r="C42" s="973" t="s">
        <v>640</v>
      </c>
      <c r="D42" s="973" t="s">
        <v>641</v>
      </c>
      <c r="E42" s="966">
        <v>2750</v>
      </c>
      <c r="F42" s="966">
        <v>2750</v>
      </c>
      <c r="G42" s="967">
        <v>500</v>
      </c>
      <c r="H42" s="967">
        <v>0</v>
      </c>
      <c r="I42" s="973" t="s">
        <v>569</v>
      </c>
      <c r="J42" s="970"/>
      <c r="K42" s="969">
        <v>46007</v>
      </c>
      <c r="L42" s="969">
        <v>46029</v>
      </c>
      <c r="M42" s="973" t="s">
        <v>556</v>
      </c>
      <c r="N42" s="970"/>
      <c r="O42" s="970"/>
      <c r="P42" s="970"/>
      <c r="Q42" s="969">
        <v>45950</v>
      </c>
      <c r="R42" s="969">
        <v>46029</v>
      </c>
      <c r="S42" s="969">
        <v>46483</v>
      </c>
    </row>
    <row r="43" spans="2:19" x14ac:dyDescent="0.25">
      <c r="B43" s="973" t="s">
        <v>642</v>
      </c>
      <c r="C43" s="973" t="s">
        <v>643</v>
      </c>
      <c r="D43" s="973" t="s">
        <v>644</v>
      </c>
      <c r="E43" s="966">
        <v>2750</v>
      </c>
      <c r="F43" s="966">
        <v>2750</v>
      </c>
      <c r="G43" s="967">
        <v>500</v>
      </c>
      <c r="H43" s="967">
        <v>0</v>
      </c>
      <c r="I43" s="973" t="s">
        <v>569</v>
      </c>
      <c r="J43" s="970"/>
      <c r="K43" s="969">
        <v>46003</v>
      </c>
      <c r="L43" s="969">
        <v>46018</v>
      </c>
      <c r="M43" s="973" t="s">
        <v>556</v>
      </c>
      <c r="N43" s="970"/>
      <c r="O43" s="970"/>
      <c r="P43" s="970"/>
      <c r="Q43" s="969">
        <v>46013</v>
      </c>
      <c r="R43" s="969">
        <v>46018</v>
      </c>
      <c r="S43" s="969">
        <v>46413</v>
      </c>
    </row>
    <row r="44" spans="2:19" x14ac:dyDescent="0.25">
      <c r="B44" s="973" t="s">
        <v>645</v>
      </c>
      <c r="C44" s="973" t="s">
        <v>646</v>
      </c>
      <c r="D44" s="973" t="s">
        <v>647</v>
      </c>
      <c r="E44" s="966">
        <v>2750</v>
      </c>
      <c r="F44" s="966">
        <v>2750</v>
      </c>
      <c r="G44" s="967">
        <v>500</v>
      </c>
      <c r="H44" s="967">
        <v>0</v>
      </c>
      <c r="I44" s="973" t="s">
        <v>569</v>
      </c>
      <c r="J44" s="970"/>
      <c r="K44" s="969">
        <v>46000</v>
      </c>
      <c r="L44" s="969">
        <v>46073</v>
      </c>
      <c r="M44" s="973" t="s">
        <v>556</v>
      </c>
      <c r="N44" s="970"/>
      <c r="O44" s="970"/>
      <c r="P44" s="970"/>
      <c r="Q44" s="969">
        <v>46062</v>
      </c>
      <c r="R44" s="969">
        <v>46073</v>
      </c>
      <c r="S44" s="969">
        <v>46526</v>
      </c>
    </row>
    <row r="45" spans="2:19" x14ac:dyDescent="0.25">
      <c r="B45" s="973" t="s">
        <v>648</v>
      </c>
      <c r="C45" s="973" t="s">
        <v>649</v>
      </c>
      <c r="D45" s="973" t="s">
        <v>650</v>
      </c>
      <c r="E45" s="966">
        <v>2750</v>
      </c>
      <c r="F45" s="966">
        <v>2750</v>
      </c>
      <c r="G45" s="967">
        <v>500</v>
      </c>
      <c r="H45" s="967">
        <v>0</v>
      </c>
      <c r="I45" s="973" t="s">
        <v>569</v>
      </c>
      <c r="J45" s="970"/>
      <c r="K45" s="969">
        <v>46000</v>
      </c>
      <c r="L45" s="969">
        <v>46029</v>
      </c>
      <c r="M45" s="973" t="s">
        <v>556</v>
      </c>
      <c r="N45" s="970"/>
      <c r="O45" s="970"/>
      <c r="P45" s="970"/>
      <c r="Q45" s="969">
        <v>45950</v>
      </c>
      <c r="R45" s="969">
        <v>46029</v>
      </c>
      <c r="S45" s="969">
        <v>46424</v>
      </c>
    </row>
    <row r="46" spans="2:19" ht="21" x14ac:dyDescent="0.25">
      <c r="B46" s="973" t="s">
        <v>651</v>
      </c>
      <c r="C46" s="973" t="s">
        <v>652</v>
      </c>
      <c r="D46" s="973" t="s">
        <v>653</v>
      </c>
      <c r="E46" s="966">
        <v>3150</v>
      </c>
      <c r="F46" s="966">
        <v>3150</v>
      </c>
      <c r="G46" s="966">
        <v>3150</v>
      </c>
      <c r="H46" s="967">
        <v>0</v>
      </c>
      <c r="I46" s="973" t="s">
        <v>569</v>
      </c>
      <c r="J46" s="970"/>
      <c r="K46" s="969">
        <v>45874</v>
      </c>
      <c r="L46" s="969">
        <v>45874</v>
      </c>
      <c r="M46" s="973" t="s">
        <v>556</v>
      </c>
      <c r="N46" s="970"/>
      <c r="O46" s="970"/>
      <c r="P46" s="970"/>
      <c r="Q46" s="969">
        <v>45856</v>
      </c>
      <c r="R46" s="969">
        <v>45874</v>
      </c>
      <c r="S46" s="969">
        <v>46269</v>
      </c>
    </row>
    <row r="47" spans="2:19" x14ac:dyDescent="0.25">
      <c r="B47" s="973" t="s">
        <v>654</v>
      </c>
      <c r="C47" s="973" t="s">
        <v>655</v>
      </c>
      <c r="D47" s="973" t="s">
        <v>656</v>
      </c>
      <c r="E47" s="966">
        <v>3150</v>
      </c>
      <c r="F47" s="966">
        <v>3150</v>
      </c>
      <c r="G47" s="967">
        <v>500</v>
      </c>
      <c r="H47" s="967">
        <v>0</v>
      </c>
      <c r="I47" s="973" t="s">
        <v>569</v>
      </c>
      <c r="J47" s="970"/>
      <c r="K47" s="969">
        <v>45874</v>
      </c>
      <c r="L47" s="969">
        <v>45962</v>
      </c>
      <c r="M47" s="973" t="s">
        <v>556</v>
      </c>
      <c r="N47" s="970"/>
      <c r="O47" s="970"/>
      <c r="P47" s="970"/>
      <c r="Q47" s="969">
        <v>45961</v>
      </c>
      <c r="R47" s="969">
        <v>45962</v>
      </c>
      <c r="S47" s="969">
        <v>46418</v>
      </c>
    </row>
    <row r="48" spans="2:19" ht="21" x14ac:dyDescent="0.25">
      <c r="B48" s="975" t="s">
        <v>772</v>
      </c>
      <c r="C48" s="975" t="s">
        <v>756</v>
      </c>
      <c r="D48" s="975" t="s">
        <v>757</v>
      </c>
      <c r="E48" s="976">
        <v>3150</v>
      </c>
      <c r="F48" s="976">
        <v>3150</v>
      </c>
      <c r="G48" s="977">
        <v>500</v>
      </c>
      <c r="H48" s="977">
        <v>0</v>
      </c>
      <c r="I48" s="975" t="s">
        <v>569</v>
      </c>
      <c r="J48" s="978"/>
      <c r="K48" s="979">
        <v>46007</v>
      </c>
      <c r="L48" s="979">
        <v>46108</v>
      </c>
      <c r="M48" s="975" t="s">
        <v>556</v>
      </c>
      <c r="N48" s="978"/>
      <c r="O48" s="978"/>
      <c r="P48" s="978"/>
      <c r="Q48" s="979">
        <v>46106</v>
      </c>
      <c r="R48" s="979">
        <v>46108</v>
      </c>
      <c r="S48" s="979">
        <v>46564</v>
      </c>
    </row>
    <row r="49" spans="2:19" x14ac:dyDescent="0.25">
      <c r="B49" s="973" t="s">
        <v>657</v>
      </c>
      <c r="C49" s="973" t="s">
        <v>658</v>
      </c>
      <c r="D49" s="973" t="s">
        <v>659</v>
      </c>
      <c r="E49" s="966">
        <v>3600</v>
      </c>
      <c r="F49" s="966">
        <v>3600</v>
      </c>
      <c r="G49" s="966">
        <v>1000</v>
      </c>
      <c r="H49" s="967">
        <v>0</v>
      </c>
      <c r="I49" s="973" t="s">
        <v>569</v>
      </c>
      <c r="J49" s="970"/>
      <c r="K49" s="969">
        <v>45835</v>
      </c>
      <c r="L49" s="969">
        <v>45835</v>
      </c>
      <c r="M49" s="973" t="s">
        <v>556</v>
      </c>
      <c r="N49" s="970"/>
      <c r="O49" s="970"/>
      <c r="P49" s="970"/>
      <c r="Q49" s="969">
        <v>45832</v>
      </c>
      <c r="R49" s="969">
        <v>45835</v>
      </c>
      <c r="S49" s="969">
        <v>46229</v>
      </c>
    </row>
    <row r="50" spans="2:19" ht="21" x14ac:dyDescent="0.25">
      <c r="B50" s="973" t="s">
        <v>557</v>
      </c>
      <c r="C50" s="973" t="s">
        <v>558</v>
      </c>
      <c r="D50" s="973" t="s">
        <v>559</v>
      </c>
      <c r="E50" s="966">
        <v>3600</v>
      </c>
      <c r="F50" s="966">
        <v>3600</v>
      </c>
      <c r="G50" s="966">
        <v>1000</v>
      </c>
      <c r="H50" s="967">
        <v>0</v>
      </c>
      <c r="I50" s="973" t="s">
        <v>569</v>
      </c>
      <c r="J50" s="970"/>
      <c r="K50" s="969">
        <v>45891</v>
      </c>
      <c r="L50" s="969">
        <v>46094</v>
      </c>
      <c r="M50" s="973" t="s">
        <v>556</v>
      </c>
      <c r="N50" s="970"/>
      <c r="O50" s="970"/>
      <c r="P50" s="970"/>
      <c r="Q50" s="969">
        <v>46082</v>
      </c>
      <c r="R50" s="969">
        <v>46094</v>
      </c>
      <c r="S50" s="969">
        <v>46489</v>
      </c>
    </row>
    <row r="51" spans="2:19" x14ac:dyDescent="0.25">
      <c r="B51" s="973" t="s">
        <v>660</v>
      </c>
      <c r="C51" s="973" t="s">
        <v>661</v>
      </c>
      <c r="D51" s="973" t="s">
        <v>662</v>
      </c>
      <c r="E51" s="966">
        <v>2650</v>
      </c>
      <c r="F51" s="966">
        <v>2650</v>
      </c>
      <c r="G51" s="967">
        <v>500</v>
      </c>
      <c r="H51" s="967">
        <v>0</v>
      </c>
      <c r="I51" s="973" t="s">
        <v>569</v>
      </c>
      <c r="J51" s="970"/>
      <c r="K51" s="969">
        <v>45987</v>
      </c>
      <c r="L51" s="969">
        <v>45987</v>
      </c>
      <c r="M51" s="973" t="s">
        <v>556</v>
      </c>
      <c r="N51" s="970"/>
      <c r="O51" s="970"/>
      <c r="P51" s="970"/>
      <c r="Q51" s="969">
        <v>45884</v>
      </c>
      <c r="R51" s="969">
        <v>45987</v>
      </c>
      <c r="S51" s="969">
        <v>46443</v>
      </c>
    </row>
    <row r="52" spans="2:19" ht="21" x14ac:dyDescent="0.25">
      <c r="B52" s="973" t="s">
        <v>560</v>
      </c>
      <c r="C52" s="973" t="s">
        <v>561</v>
      </c>
      <c r="D52" s="973" t="s">
        <v>562</v>
      </c>
      <c r="E52" s="966">
        <v>2650</v>
      </c>
      <c r="F52" s="966">
        <v>2650</v>
      </c>
      <c r="G52" s="967">
        <v>500</v>
      </c>
      <c r="H52" s="967">
        <v>0</v>
      </c>
      <c r="I52" s="973" t="s">
        <v>569</v>
      </c>
      <c r="J52" s="970"/>
      <c r="K52" s="969">
        <v>45940</v>
      </c>
      <c r="L52" s="969">
        <v>46080</v>
      </c>
      <c r="M52" s="973" t="s">
        <v>556</v>
      </c>
      <c r="N52" s="970"/>
      <c r="O52" s="970"/>
      <c r="P52" s="970"/>
      <c r="Q52" s="969">
        <v>46044</v>
      </c>
      <c r="R52" s="969">
        <v>46080</v>
      </c>
      <c r="S52" s="969">
        <v>46472</v>
      </c>
    </row>
    <row r="53" spans="2:19" ht="21" x14ac:dyDescent="0.25">
      <c r="B53" s="973" t="s">
        <v>663</v>
      </c>
      <c r="C53" s="973" t="s">
        <v>664</v>
      </c>
      <c r="D53" s="973" t="s">
        <v>665</v>
      </c>
      <c r="E53" s="966">
        <v>2650</v>
      </c>
      <c r="F53" s="966">
        <v>2650</v>
      </c>
      <c r="G53" s="967">
        <v>500</v>
      </c>
      <c r="H53" s="967">
        <v>0</v>
      </c>
      <c r="I53" s="973" t="s">
        <v>569</v>
      </c>
      <c r="J53" s="970"/>
      <c r="K53" s="969">
        <v>45772</v>
      </c>
      <c r="L53" s="969">
        <v>46063</v>
      </c>
      <c r="M53" s="973" t="s">
        <v>556</v>
      </c>
      <c r="N53" s="970"/>
      <c r="O53" s="970"/>
      <c r="P53" s="970"/>
      <c r="Q53" s="969">
        <v>46052</v>
      </c>
      <c r="R53" s="969">
        <v>46063</v>
      </c>
      <c r="S53" s="969">
        <v>46516</v>
      </c>
    </row>
    <row r="54" spans="2:19" x14ac:dyDescent="0.25">
      <c r="B54" s="973" t="s">
        <v>666</v>
      </c>
      <c r="C54" s="973" t="s">
        <v>667</v>
      </c>
      <c r="D54" s="973" t="s">
        <v>668</v>
      </c>
      <c r="E54" s="966">
        <v>2703</v>
      </c>
      <c r="F54" s="966">
        <v>2650</v>
      </c>
      <c r="G54" s="966">
        <v>1000</v>
      </c>
      <c r="H54" s="967">
        <v>0</v>
      </c>
      <c r="I54" s="973" t="s">
        <v>569</v>
      </c>
      <c r="J54" s="970"/>
      <c r="K54" s="969">
        <v>45778</v>
      </c>
      <c r="L54" s="969">
        <v>45778</v>
      </c>
      <c r="M54" s="973" t="s">
        <v>556</v>
      </c>
      <c r="N54" s="970"/>
      <c r="O54" s="970"/>
      <c r="P54" s="970"/>
      <c r="Q54" s="969">
        <v>45737</v>
      </c>
      <c r="R54" s="969">
        <v>45778</v>
      </c>
      <c r="S54" s="969">
        <v>46538</v>
      </c>
    </row>
    <row r="55" spans="2:19" ht="21" x14ac:dyDescent="0.25">
      <c r="B55" s="973" t="s">
        <v>563</v>
      </c>
      <c r="C55" s="973" t="s">
        <v>564</v>
      </c>
      <c r="D55" s="973" t="s">
        <v>565</v>
      </c>
      <c r="E55" s="966">
        <v>2950</v>
      </c>
      <c r="F55" s="966">
        <v>2950</v>
      </c>
      <c r="G55" s="967">
        <v>500</v>
      </c>
      <c r="H55" s="967">
        <v>0</v>
      </c>
      <c r="I55" s="973" t="s">
        <v>569</v>
      </c>
      <c r="J55" s="970"/>
      <c r="K55" s="969">
        <v>46047</v>
      </c>
      <c r="L55" s="969">
        <v>46094</v>
      </c>
      <c r="M55" s="973" t="s">
        <v>556</v>
      </c>
      <c r="N55" s="970"/>
      <c r="O55" s="970"/>
      <c r="P55" s="970"/>
      <c r="Q55" s="969">
        <v>46084</v>
      </c>
      <c r="R55" s="969">
        <v>46094</v>
      </c>
      <c r="S55" s="969">
        <v>46489</v>
      </c>
    </row>
    <row r="56" spans="2:19" x14ac:dyDescent="0.25">
      <c r="B56" s="973" t="s">
        <v>566</v>
      </c>
      <c r="C56" s="973" t="s">
        <v>567</v>
      </c>
      <c r="D56" s="973" t="s">
        <v>568</v>
      </c>
      <c r="E56" s="966">
        <v>2950</v>
      </c>
      <c r="F56" s="966">
        <v>2950</v>
      </c>
      <c r="G56" s="967">
        <v>500</v>
      </c>
      <c r="H56" s="967">
        <v>0</v>
      </c>
      <c r="I56" s="973" t="s">
        <v>569</v>
      </c>
      <c r="J56" s="970"/>
      <c r="K56" s="969">
        <v>46003</v>
      </c>
      <c r="L56" s="969">
        <v>46076</v>
      </c>
      <c r="M56" s="973" t="s">
        <v>556</v>
      </c>
      <c r="N56" s="970"/>
      <c r="O56" s="970"/>
      <c r="P56" s="970"/>
      <c r="Q56" s="969">
        <v>46030</v>
      </c>
      <c r="R56" s="969">
        <v>46076</v>
      </c>
      <c r="S56" s="969">
        <v>46468</v>
      </c>
    </row>
    <row r="57" spans="2:19" ht="21" x14ac:dyDescent="0.25">
      <c r="B57" s="973" t="s">
        <v>669</v>
      </c>
      <c r="C57" s="973" t="s">
        <v>670</v>
      </c>
      <c r="D57" s="973" t="s">
        <v>671</v>
      </c>
      <c r="E57" s="966">
        <v>2497</v>
      </c>
      <c r="F57" s="966">
        <v>2497</v>
      </c>
      <c r="G57" s="967">
        <v>500</v>
      </c>
      <c r="H57" s="967">
        <v>0</v>
      </c>
      <c r="I57" s="973" t="s">
        <v>569</v>
      </c>
      <c r="J57" s="970"/>
      <c r="K57" s="969">
        <v>45772</v>
      </c>
      <c r="L57" s="969">
        <v>45863</v>
      </c>
      <c r="M57" s="973" t="s">
        <v>556</v>
      </c>
      <c r="N57" s="970"/>
      <c r="O57" s="970"/>
      <c r="P57" s="970"/>
      <c r="Q57" s="969">
        <v>45862</v>
      </c>
      <c r="R57" s="969">
        <v>45863</v>
      </c>
      <c r="S57" s="969">
        <v>46258</v>
      </c>
    </row>
    <row r="58" spans="2:19" ht="31.5" x14ac:dyDescent="0.25">
      <c r="B58" s="973" t="s">
        <v>672</v>
      </c>
      <c r="C58" s="973" t="s">
        <v>673</v>
      </c>
      <c r="D58" s="973" t="s">
        <v>674</v>
      </c>
      <c r="E58" s="966">
        <v>2950</v>
      </c>
      <c r="F58" s="966">
        <v>2950</v>
      </c>
      <c r="G58" s="966">
        <v>2950</v>
      </c>
      <c r="H58" s="967">
        <v>0</v>
      </c>
      <c r="I58" s="973" t="s">
        <v>569</v>
      </c>
      <c r="J58" s="980"/>
      <c r="K58" s="969">
        <v>45804</v>
      </c>
      <c r="L58" s="969">
        <v>46037</v>
      </c>
      <c r="M58" s="973" t="s">
        <v>556</v>
      </c>
      <c r="N58" s="980"/>
      <c r="O58" s="980"/>
      <c r="P58" s="980"/>
      <c r="Q58" s="969">
        <v>46035</v>
      </c>
      <c r="R58" s="969">
        <v>46037</v>
      </c>
      <c r="S58" s="969">
        <v>46432</v>
      </c>
    </row>
    <row r="59" spans="2:19" x14ac:dyDescent="0.25">
      <c r="B59" s="973" t="s">
        <v>675</v>
      </c>
      <c r="C59" s="973" t="s">
        <v>676</v>
      </c>
      <c r="D59" s="973" t="s">
        <v>677</v>
      </c>
      <c r="E59" s="966">
        <v>2950</v>
      </c>
      <c r="F59" s="966">
        <v>2950</v>
      </c>
      <c r="G59" s="966">
        <v>2950</v>
      </c>
      <c r="H59" s="967">
        <v>0</v>
      </c>
      <c r="I59" s="973" t="s">
        <v>569</v>
      </c>
      <c r="J59" s="970"/>
      <c r="K59" s="969">
        <v>46031</v>
      </c>
      <c r="L59" s="969">
        <v>46037</v>
      </c>
      <c r="M59" s="973" t="s">
        <v>556</v>
      </c>
      <c r="N59" s="970"/>
      <c r="O59" s="970"/>
      <c r="P59" s="970"/>
      <c r="Q59" s="969">
        <v>45992</v>
      </c>
      <c r="R59" s="969">
        <v>46037</v>
      </c>
      <c r="S59" s="969">
        <v>46432</v>
      </c>
    </row>
    <row r="60" spans="2:19" ht="21" x14ac:dyDescent="0.25">
      <c r="B60" s="973" t="s">
        <v>678</v>
      </c>
      <c r="C60" s="973" t="s">
        <v>679</v>
      </c>
      <c r="D60" s="973" t="s">
        <v>680</v>
      </c>
      <c r="E60" s="966">
        <v>2950</v>
      </c>
      <c r="F60" s="966">
        <v>2950</v>
      </c>
      <c r="G60" s="967">
        <v>500</v>
      </c>
      <c r="H60" s="967">
        <v>0</v>
      </c>
      <c r="I60" s="973" t="s">
        <v>569</v>
      </c>
      <c r="J60" s="970"/>
      <c r="K60" s="969">
        <v>46014</v>
      </c>
      <c r="L60" s="969">
        <v>46073</v>
      </c>
      <c r="M60" s="973" t="s">
        <v>556</v>
      </c>
      <c r="N60" s="970"/>
      <c r="O60" s="970"/>
      <c r="P60" s="970"/>
      <c r="Q60" s="969">
        <v>46064</v>
      </c>
      <c r="R60" s="969">
        <v>46073</v>
      </c>
      <c r="S60" s="969">
        <v>46526</v>
      </c>
    </row>
  </sheetData>
  <autoFilter ref="B1:S54" xr:uid="{849478E4-A144-4B21-B030-175AC29524C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41E4-76DE-4341-8040-5A3796B6E3FD}">
  <sheetPr>
    <tabColor theme="6" tint="0.79998168889431442"/>
  </sheetPr>
  <dimension ref="A1:X80"/>
  <sheetViews>
    <sheetView topLeftCell="C1" zoomScaleNormal="100" workbookViewId="0">
      <selection activeCell="P8" sqref="P8"/>
    </sheetView>
  </sheetViews>
  <sheetFormatPr defaultRowHeight="15" outlineLevelCol="1" x14ac:dyDescent="0.25"/>
  <cols>
    <col min="1" max="1" width="4.140625" style="182" customWidth="1"/>
    <col min="2" max="2" width="42.5703125" customWidth="1"/>
    <col min="3" max="3" width="28.5703125" customWidth="1"/>
    <col min="4" max="4" width="13.85546875" customWidth="1"/>
    <col min="5" max="5" width="14.5703125" style="182" customWidth="1"/>
    <col min="7" max="7" width="22.7109375" customWidth="1"/>
    <col min="8" max="8" width="28" customWidth="1"/>
    <col min="9" max="9" width="11.85546875" customWidth="1" outlineLevel="1"/>
    <col min="10" max="10" width="9.140625" customWidth="1" outlineLevel="1"/>
  </cols>
  <sheetData>
    <row r="1" spans="1:24" ht="24.95" customHeight="1" x14ac:dyDescent="0.4">
      <c r="A1" s="1189" t="s">
        <v>218</v>
      </c>
      <c r="B1" s="1189"/>
      <c r="C1" s="1189"/>
      <c r="D1" s="1189"/>
      <c r="E1" s="1189"/>
      <c r="I1" t="s">
        <v>219</v>
      </c>
      <c r="J1" t="s">
        <v>62</v>
      </c>
    </row>
    <row r="2" spans="1:24" ht="24.95" customHeight="1" x14ac:dyDescent="0.25">
      <c r="A2" s="1190" t="s">
        <v>220</v>
      </c>
      <c r="B2" s="1190"/>
      <c r="C2" s="1190"/>
      <c r="D2" s="1190"/>
      <c r="E2" s="1190"/>
      <c r="I2" t="s">
        <v>221</v>
      </c>
      <c r="J2" t="s">
        <v>22</v>
      </c>
    </row>
    <row r="4" spans="1:24" ht="20.100000000000001" customHeight="1" x14ac:dyDescent="0.25">
      <c r="A4" s="262"/>
      <c r="B4" s="263" t="s">
        <v>222</v>
      </c>
      <c r="C4" s="263" t="s">
        <v>223</v>
      </c>
      <c r="D4" s="264" t="s">
        <v>224</v>
      </c>
      <c r="E4" s="264" t="s">
        <v>225</v>
      </c>
    </row>
    <row r="5" spans="1:24" ht="15.75" thickBot="1" x14ac:dyDescent="0.3">
      <c r="A5" s="265">
        <v>1</v>
      </c>
      <c r="B5" s="267"/>
      <c r="C5" s="267"/>
      <c r="D5" s="268"/>
      <c r="E5" s="269"/>
    </row>
    <row r="6" spans="1:24" x14ac:dyDescent="0.25">
      <c r="A6" s="265">
        <f>A5+1</f>
        <v>2</v>
      </c>
      <c r="B6" s="267" t="s">
        <v>839</v>
      </c>
      <c r="C6" s="267" t="s">
        <v>838</v>
      </c>
      <c r="D6" s="268">
        <v>45776</v>
      </c>
      <c r="E6" s="269" t="s">
        <v>69</v>
      </c>
      <c r="H6" s="322" t="s">
        <v>230</v>
      </c>
      <c r="I6" s="323">
        <v>45955</v>
      </c>
      <c r="J6" s="323">
        <v>45986</v>
      </c>
      <c r="K6" s="324">
        <v>46016</v>
      </c>
      <c r="L6" s="325">
        <v>46023</v>
      </c>
      <c r="M6" s="1040">
        <v>46054</v>
      </c>
      <c r="N6" s="496">
        <v>46082</v>
      </c>
      <c r="O6" s="325">
        <v>46113</v>
      </c>
      <c r="P6" s="325">
        <v>46143</v>
      </c>
      <c r="Q6" s="325">
        <v>46174</v>
      </c>
      <c r="R6" s="325">
        <v>46204</v>
      </c>
      <c r="S6" s="325">
        <v>46235</v>
      </c>
      <c r="T6" s="325">
        <v>46266</v>
      </c>
      <c r="U6" s="325">
        <v>46296</v>
      </c>
      <c r="V6" s="325">
        <v>46327</v>
      </c>
      <c r="W6" s="326">
        <v>46357</v>
      </c>
    </row>
    <row r="7" spans="1:24" x14ac:dyDescent="0.25">
      <c r="A7" s="265">
        <f t="shared" ref="A7:A14" si="0">A6+1</f>
        <v>3</v>
      </c>
      <c r="B7" s="267" t="s">
        <v>392</v>
      </c>
      <c r="C7" s="267" t="s">
        <v>803</v>
      </c>
      <c r="D7" s="268">
        <v>46174</v>
      </c>
      <c r="E7" s="269" t="s">
        <v>73</v>
      </c>
      <c r="H7" s="327" t="s">
        <v>233</v>
      </c>
      <c r="I7" s="328">
        <v>21</v>
      </c>
      <c r="J7" s="328">
        <f>I8</f>
        <v>23</v>
      </c>
      <c r="K7" s="329">
        <f>J8</f>
        <v>27</v>
      </c>
      <c r="L7" s="328">
        <f>K8</f>
        <v>33</v>
      </c>
      <c r="M7" s="302">
        <f>L8</f>
        <v>41</v>
      </c>
      <c r="N7" s="497">
        <f t="shared" ref="N7:W7" si="1">M8</f>
        <v>47</v>
      </c>
      <c r="O7" s="302">
        <f t="shared" si="1"/>
        <v>53</v>
      </c>
      <c r="P7" s="302">
        <f t="shared" si="1"/>
        <v>56</v>
      </c>
      <c r="Q7" s="302">
        <f t="shared" si="1"/>
        <v>57</v>
      </c>
      <c r="R7" s="302">
        <f t="shared" si="1"/>
        <v>57</v>
      </c>
      <c r="S7" s="302">
        <f t="shared" si="1"/>
        <v>57</v>
      </c>
      <c r="T7" s="302">
        <f t="shared" si="1"/>
        <v>57</v>
      </c>
      <c r="U7" s="302">
        <f t="shared" si="1"/>
        <v>57</v>
      </c>
      <c r="V7" s="302">
        <f t="shared" si="1"/>
        <v>57</v>
      </c>
      <c r="W7" s="302">
        <f t="shared" si="1"/>
        <v>57</v>
      </c>
    </row>
    <row r="8" spans="1:24" x14ac:dyDescent="0.25">
      <c r="A8" s="265">
        <f t="shared" si="0"/>
        <v>4</v>
      </c>
      <c r="B8" s="267"/>
      <c r="C8" s="267"/>
      <c r="D8" s="268"/>
      <c r="E8" s="269"/>
      <c r="H8" s="2" t="s">
        <v>5</v>
      </c>
      <c r="I8" s="3">
        <v>23</v>
      </c>
      <c r="J8" s="3">
        <v>27</v>
      </c>
      <c r="K8" s="5">
        <v>33</v>
      </c>
      <c r="L8" s="3">
        <f>K8+8</f>
        <v>41</v>
      </c>
      <c r="M8" s="3">
        <f>L8+M15+M14</f>
        <v>47</v>
      </c>
      <c r="N8" s="4">
        <f>M8+N15+N14</f>
        <v>53</v>
      </c>
      <c r="O8" s="3">
        <f t="shared" ref="O8:W8" si="2">N8+O15+O14</f>
        <v>56</v>
      </c>
      <c r="P8" s="3">
        <f t="shared" si="2"/>
        <v>57</v>
      </c>
      <c r="Q8" s="3">
        <f>P8+Q15+Q14</f>
        <v>57</v>
      </c>
      <c r="R8" s="3">
        <f t="shared" si="2"/>
        <v>57</v>
      </c>
      <c r="S8" s="3">
        <f t="shared" si="2"/>
        <v>57</v>
      </c>
      <c r="T8" s="3">
        <f t="shared" si="2"/>
        <v>57</v>
      </c>
      <c r="U8" s="3">
        <f t="shared" si="2"/>
        <v>57</v>
      </c>
      <c r="V8" s="3">
        <f t="shared" si="2"/>
        <v>57</v>
      </c>
      <c r="W8" s="3">
        <f t="shared" si="2"/>
        <v>57</v>
      </c>
    </row>
    <row r="9" spans="1:24" x14ac:dyDescent="0.25">
      <c r="A9" s="265">
        <f t="shared" si="0"/>
        <v>5</v>
      </c>
      <c r="B9" s="267"/>
      <c r="C9" s="267"/>
      <c r="D9" s="268"/>
      <c r="E9" s="269"/>
      <c r="H9" s="288" t="s">
        <v>236</v>
      </c>
      <c r="I9" s="330">
        <f>I8/117</f>
        <v>0.19658119658119658</v>
      </c>
      <c r="J9" s="330">
        <f t="shared" ref="J9:W9" si="3">J8/117</f>
        <v>0.23076923076923078</v>
      </c>
      <c r="K9" s="331">
        <f t="shared" si="3"/>
        <v>0.28205128205128205</v>
      </c>
      <c r="L9" s="330">
        <f t="shared" si="3"/>
        <v>0.3504273504273504</v>
      </c>
      <c r="M9" s="330">
        <f t="shared" si="3"/>
        <v>0.40170940170940173</v>
      </c>
      <c r="N9" s="498">
        <f t="shared" si="3"/>
        <v>0.45299145299145299</v>
      </c>
      <c r="O9" s="330">
        <f t="shared" si="3"/>
        <v>0.47863247863247865</v>
      </c>
      <c r="P9" s="330">
        <f t="shared" si="3"/>
        <v>0.48717948717948717</v>
      </c>
      <c r="Q9" s="6">
        <f t="shared" si="3"/>
        <v>0.48717948717948717</v>
      </c>
      <c r="R9" s="6">
        <f t="shared" si="3"/>
        <v>0.48717948717948717</v>
      </c>
      <c r="S9" s="6">
        <f t="shared" si="3"/>
        <v>0.48717948717948717</v>
      </c>
      <c r="T9" s="6">
        <f t="shared" si="3"/>
        <v>0.48717948717948717</v>
      </c>
      <c r="U9" s="6">
        <f t="shared" si="3"/>
        <v>0.48717948717948717</v>
      </c>
      <c r="V9" s="6">
        <f t="shared" si="3"/>
        <v>0.48717948717948717</v>
      </c>
      <c r="W9" s="8">
        <f t="shared" si="3"/>
        <v>0.48717948717948717</v>
      </c>
    </row>
    <row r="10" spans="1:24" x14ac:dyDescent="0.25">
      <c r="A10" s="265">
        <f t="shared" si="0"/>
        <v>6</v>
      </c>
      <c r="B10" s="267"/>
      <c r="C10" s="267"/>
      <c r="D10" s="268"/>
      <c r="E10" s="269"/>
      <c r="H10" s="9"/>
      <c r="I10" s="10"/>
      <c r="J10" s="10"/>
      <c r="K10" s="12"/>
      <c r="L10" s="10"/>
      <c r="M10" s="10"/>
      <c r="N10" s="11"/>
      <c r="O10" s="10"/>
      <c r="P10" s="10"/>
      <c r="Q10" s="10"/>
      <c r="R10" s="10"/>
      <c r="S10" s="10"/>
      <c r="T10" s="10"/>
      <c r="U10" s="10"/>
      <c r="V10" s="10"/>
      <c r="W10" s="12"/>
    </row>
    <row r="11" spans="1:24" x14ac:dyDescent="0.25">
      <c r="A11" s="265">
        <f t="shared" si="0"/>
        <v>7</v>
      </c>
      <c r="B11" s="267"/>
      <c r="C11" s="267"/>
      <c r="D11" s="268"/>
      <c r="E11" s="269"/>
      <c r="H11" s="271" t="s">
        <v>320</v>
      </c>
      <c r="I11" s="272">
        <f>J11-J13</f>
        <v>29</v>
      </c>
      <c r="J11" s="272">
        <v>33</v>
      </c>
      <c r="K11" s="273">
        <v>39</v>
      </c>
      <c r="L11" s="272">
        <v>47</v>
      </c>
      <c r="M11" s="3">
        <f>L11+M13</f>
        <v>52</v>
      </c>
      <c r="N11" s="499">
        <f>M11+N13</f>
        <v>55</v>
      </c>
      <c r="O11" s="272">
        <f t="shared" ref="O11:W11" si="4">N11+O13</f>
        <v>58</v>
      </c>
      <c r="P11" s="272">
        <f t="shared" si="4"/>
        <v>58</v>
      </c>
      <c r="Q11" s="272">
        <f>P11+Q13</f>
        <v>58</v>
      </c>
      <c r="R11" s="272">
        <f t="shared" si="4"/>
        <v>58</v>
      </c>
      <c r="S11" s="272">
        <f t="shared" si="4"/>
        <v>58</v>
      </c>
      <c r="T11" s="272">
        <f t="shared" si="4"/>
        <v>58</v>
      </c>
      <c r="U11" s="272">
        <f t="shared" si="4"/>
        <v>58</v>
      </c>
      <c r="V11" s="272">
        <f t="shared" si="4"/>
        <v>58</v>
      </c>
      <c r="W11" s="272">
        <f t="shared" si="4"/>
        <v>58</v>
      </c>
    </row>
    <row r="12" spans="1:24" x14ac:dyDescent="0.25">
      <c r="A12" s="265">
        <f t="shared" si="0"/>
        <v>8</v>
      </c>
      <c r="B12" s="267"/>
      <c r="C12" s="267"/>
      <c r="D12" s="268"/>
      <c r="E12" s="269"/>
      <c r="F12" s="889" t="s">
        <v>238</v>
      </c>
      <c r="H12" s="270" t="s">
        <v>0</v>
      </c>
      <c r="I12" s="332">
        <f>I11/117</f>
        <v>0.24786324786324787</v>
      </c>
      <c r="J12" s="332">
        <f>J11/117</f>
        <v>0.28205128205128205</v>
      </c>
      <c r="K12" s="333">
        <f>K11/117</f>
        <v>0.33333333333333331</v>
      </c>
      <c r="L12" s="332">
        <f>L11/117</f>
        <v>0.40170940170940173</v>
      </c>
      <c r="M12" s="14">
        <f t="shared" ref="M12:W12" si="5">M11/117</f>
        <v>0.44444444444444442</v>
      </c>
      <c r="N12" s="27">
        <f t="shared" si="5"/>
        <v>0.47008547008547008</v>
      </c>
      <c r="O12" s="14">
        <f t="shared" si="5"/>
        <v>0.49572649572649574</v>
      </c>
      <c r="P12" s="14">
        <f t="shared" si="5"/>
        <v>0.49572649572649574</v>
      </c>
      <c r="Q12" s="14">
        <f t="shared" si="5"/>
        <v>0.49572649572649574</v>
      </c>
      <c r="R12" s="14">
        <f t="shared" si="5"/>
        <v>0.49572649572649574</v>
      </c>
      <c r="S12" s="14">
        <f t="shared" si="5"/>
        <v>0.49572649572649574</v>
      </c>
      <c r="T12" s="14">
        <f t="shared" si="5"/>
        <v>0.49572649572649574</v>
      </c>
      <c r="U12" s="14">
        <f t="shared" si="5"/>
        <v>0.49572649572649574</v>
      </c>
      <c r="V12" s="14">
        <f t="shared" si="5"/>
        <v>0.49572649572649574</v>
      </c>
      <c r="W12" s="276">
        <f t="shared" si="5"/>
        <v>0.49572649572649574</v>
      </c>
      <c r="X12" s="3"/>
    </row>
    <row r="13" spans="1:24" x14ac:dyDescent="0.25">
      <c r="A13" s="265">
        <f t="shared" si="0"/>
        <v>9</v>
      </c>
      <c r="B13" s="267"/>
      <c r="C13" s="267"/>
      <c r="D13" s="268"/>
      <c r="E13" s="269"/>
      <c r="H13" s="266" t="s">
        <v>319</v>
      </c>
      <c r="I13">
        <v>8</v>
      </c>
      <c r="J13">
        <v>4</v>
      </c>
      <c r="K13" s="16">
        <f>K11-J11</f>
        <v>6</v>
      </c>
      <c r="L13" s="3">
        <f>L11-K11</f>
        <v>8</v>
      </c>
      <c r="M13" s="3">
        <v>5</v>
      </c>
      <c r="N13" s="30">
        <v>3</v>
      </c>
      <c r="O13" s="1047">
        <v>3</v>
      </c>
      <c r="P13" s="277"/>
      <c r="Q13" s="277"/>
      <c r="R13" s="277"/>
      <c r="S13" s="277"/>
      <c r="T13" s="277"/>
      <c r="U13" s="277"/>
      <c r="V13" s="277"/>
      <c r="W13" s="277"/>
    </row>
    <row r="14" spans="1:24" x14ac:dyDescent="0.25">
      <c r="A14" s="265">
        <f t="shared" si="0"/>
        <v>10</v>
      </c>
      <c r="B14" s="267"/>
      <c r="C14" s="267"/>
      <c r="D14" s="268"/>
      <c r="E14" s="269"/>
      <c r="H14" s="334" t="s">
        <v>806</v>
      </c>
      <c r="I14" s="335">
        <v>1</v>
      </c>
      <c r="J14" s="336">
        <f>J8-J7</f>
        <v>4</v>
      </c>
      <c r="K14" s="337">
        <f>K8-K7</f>
        <v>6</v>
      </c>
      <c r="L14" s="338">
        <f>L8-L7</f>
        <v>8</v>
      </c>
      <c r="M14" s="338">
        <v>7</v>
      </c>
      <c r="N14" s="1042">
        <v>6</v>
      </c>
      <c r="O14" s="1086">
        <v>3</v>
      </c>
      <c r="P14" s="1046">
        <v>1</v>
      </c>
      <c r="Q14" s="1046">
        <v>1</v>
      </c>
      <c r="R14" s="339"/>
      <c r="S14" s="339"/>
      <c r="T14" s="339"/>
      <c r="U14" s="339"/>
      <c r="V14" s="339"/>
      <c r="W14" s="339"/>
    </row>
    <row r="15" spans="1:24" ht="15.75" thickBot="1" x14ac:dyDescent="0.3">
      <c r="A15" s="262"/>
      <c r="H15" s="270" t="s">
        <v>805</v>
      </c>
      <c r="I15" s="10">
        <v>0</v>
      </c>
      <c r="J15" s="10">
        <v>0</v>
      </c>
      <c r="K15" s="12">
        <v>0</v>
      </c>
      <c r="L15" s="17">
        <v>0</v>
      </c>
      <c r="M15" s="1041">
        <v>-1</v>
      </c>
      <c r="N15" s="45"/>
      <c r="O15" s="12"/>
      <c r="P15" s="1044"/>
      <c r="Q15" s="278">
        <v>-1</v>
      </c>
      <c r="R15" s="278"/>
      <c r="S15" s="278"/>
      <c r="T15" s="278"/>
      <c r="U15" s="278"/>
      <c r="V15" s="278"/>
      <c r="W15" s="278"/>
    </row>
    <row r="16" spans="1:24" x14ac:dyDescent="0.25">
      <c r="A16" s="262"/>
      <c r="B16" s="263" t="s">
        <v>239</v>
      </c>
      <c r="C16" s="263"/>
      <c r="D16" s="264" t="s">
        <v>224</v>
      </c>
      <c r="E16" s="264" t="s">
        <v>225</v>
      </c>
    </row>
    <row r="17" spans="1:23" x14ac:dyDescent="0.25">
      <c r="A17" s="262">
        <v>1</v>
      </c>
      <c r="B17" s="274" t="s">
        <v>240</v>
      </c>
      <c r="C17" s="274"/>
      <c r="D17" s="275">
        <v>45777</v>
      </c>
      <c r="E17" s="262" t="s">
        <v>241</v>
      </c>
      <c r="H17" s="1" t="s">
        <v>3</v>
      </c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279"/>
    </row>
    <row r="18" spans="1:23" x14ac:dyDescent="0.25">
      <c r="A18" s="299">
        <f>A17+1</f>
        <v>2</v>
      </c>
      <c r="B18" s="300" t="s">
        <v>242</v>
      </c>
      <c r="C18" s="300" t="s">
        <v>803</v>
      </c>
      <c r="D18" s="301">
        <v>45778</v>
      </c>
      <c r="E18" s="299" t="s">
        <v>243</v>
      </c>
      <c r="F18" s="1043" t="s">
        <v>804</v>
      </c>
      <c r="G18" s="1043"/>
      <c r="H18" s="13" t="s">
        <v>4</v>
      </c>
      <c r="I18" s="15"/>
      <c r="J18" s="15"/>
      <c r="K18" s="15"/>
      <c r="L18" s="15">
        <v>33</v>
      </c>
      <c r="M18" s="15">
        <v>40</v>
      </c>
      <c r="N18" s="15">
        <v>47</v>
      </c>
      <c r="O18" s="15">
        <v>52</v>
      </c>
      <c r="P18" s="15">
        <v>58</v>
      </c>
      <c r="Q18" s="15">
        <v>68</v>
      </c>
      <c r="R18" s="15">
        <v>77</v>
      </c>
      <c r="S18" s="15">
        <v>85</v>
      </c>
      <c r="T18" s="15">
        <v>91</v>
      </c>
      <c r="U18" s="15">
        <v>96</v>
      </c>
      <c r="V18" s="15">
        <v>100</v>
      </c>
      <c r="W18" s="16">
        <v>104</v>
      </c>
    </row>
    <row r="19" spans="1:23" x14ac:dyDescent="0.25">
      <c r="A19" s="262">
        <f t="shared" ref="A19:A64" si="6">A18+1</f>
        <v>3</v>
      </c>
      <c r="B19" s="274" t="s">
        <v>244</v>
      </c>
      <c r="C19" s="274"/>
      <c r="D19" s="275">
        <v>45778</v>
      </c>
      <c r="E19" s="262" t="s">
        <v>245</v>
      </c>
      <c r="H19" s="280" t="s">
        <v>5</v>
      </c>
      <c r="I19" s="10"/>
      <c r="J19" s="10"/>
      <c r="K19" s="10"/>
      <c r="L19" s="17">
        <f>L18+L20</f>
        <v>38</v>
      </c>
      <c r="M19" s="17">
        <f t="shared" ref="M19:W19" si="7">M18+M20</f>
        <v>45</v>
      </c>
      <c r="N19" s="17">
        <f t="shared" si="7"/>
        <v>52</v>
      </c>
      <c r="O19" s="17">
        <f t="shared" si="7"/>
        <v>58</v>
      </c>
      <c r="P19" s="17">
        <f t="shared" si="7"/>
        <v>68</v>
      </c>
      <c r="Q19" s="17">
        <f t="shared" si="7"/>
        <v>77</v>
      </c>
      <c r="R19" s="17">
        <f t="shared" si="7"/>
        <v>85</v>
      </c>
      <c r="S19" s="17">
        <f t="shared" si="7"/>
        <v>91</v>
      </c>
      <c r="T19" s="17">
        <f t="shared" si="7"/>
        <v>96</v>
      </c>
      <c r="U19" s="17">
        <f t="shared" si="7"/>
        <v>100</v>
      </c>
      <c r="V19" s="17">
        <f t="shared" si="7"/>
        <v>104</v>
      </c>
      <c r="W19" s="281">
        <f t="shared" si="7"/>
        <v>107</v>
      </c>
    </row>
    <row r="20" spans="1:23" x14ac:dyDescent="0.25">
      <c r="A20" s="262">
        <f t="shared" si="6"/>
        <v>4</v>
      </c>
      <c r="B20" s="274" t="s">
        <v>246</v>
      </c>
      <c r="C20" s="274"/>
      <c r="D20" s="275">
        <v>45782</v>
      </c>
      <c r="E20" s="262" t="s">
        <v>247</v>
      </c>
      <c r="H20" s="1" t="s">
        <v>6</v>
      </c>
      <c r="I20" s="18"/>
      <c r="J20" s="18"/>
      <c r="K20" s="18"/>
      <c r="L20" s="18">
        <v>5</v>
      </c>
      <c r="M20" s="18">
        <v>5</v>
      </c>
      <c r="N20" s="18">
        <v>5</v>
      </c>
      <c r="O20" s="18">
        <v>6</v>
      </c>
      <c r="P20" s="18">
        <v>10</v>
      </c>
      <c r="Q20" s="18">
        <v>9</v>
      </c>
      <c r="R20" s="18">
        <v>8</v>
      </c>
      <c r="S20" s="18">
        <v>6</v>
      </c>
      <c r="T20" s="18">
        <v>5</v>
      </c>
      <c r="U20" s="18">
        <v>4</v>
      </c>
      <c r="V20" s="18">
        <v>4</v>
      </c>
      <c r="W20" s="19">
        <v>3</v>
      </c>
    </row>
    <row r="21" spans="1:23" x14ac:dyDescent="0.25">
      <c r="A21" s="262">
        <f t="shared" si="6"/>
        <v>5</v>
      </c>
      <c r="B21" s="277" t="s">
        <v>248</v>
      </c>
      <c r="C21" s="277"/>
      <c r="D21" s="282">
        <v>45800</v>
      </c>
      <c r="E21" s="283" t="s">
        <v>219</v>
      </c>
    </row>
    <row r="22" spans="1:23" x14ac:dyDescent="0.25">
      <c r="A22" s="262">
        <f t="shared" si="6"/>
        <v>6</v>
      </c>
      <c r="B22" s="284" t="s">
        <v>249</v>
      </c>
      <c r="C22" s="274"/>
      <c r="D22" s="285">
        <v>45809</v>
      </c>
      <c r="E22" s="286" t="s">
        <v>221</v>
      </c>
      <c r="H22" s="3" t="s">
        <v>250</v>
      </c>
      <c r="M22">
        <f>(M11/117)*100</f>
        <v>44.444444444444443</v>
      </c>
    </row>
    <row r="23" spans="1:23" x14ac:dyDescent="0.25">
      <c r="A23" s="262">
        <f t="shared" si="6"/>
        <v>7</v>
      </c>
      <c r="B23" s="274" t="s">
        <v>251</v>
      </c>
      <c r="C23" s="274"/>
      <c r="D23" s="275">
        <v>45819</v>
      </c>
      <c r="E23" s="262" t="s">
        <v>219</v>
      </c>
    </row>
    <row r="24" spans="1:23" x14ac:dyDescent="0.25">
      <c r="A24" s="262">
        <f t="shared" si="6"/>
        <v>8</v>
      </c>
      <c r="B24" s="274" t="s">
        <v>252</v>
      </c>
      <c r="C24" s="274"/>
      <c r="D24" s="275">
        <v>45829</v>
      </c>
      <c r="E24" s="262" t="s">
        <v>219</v>
      </c>
      <c r="H24" s="3" t="s">
        <v>314</v>
      </c>
      <c r="N24">
        <f>K11-L11</f>
        <v>-8</v>
      </c>
    </row>
    <row r="25" spans="1:23" x14ac:dyDescent="0.25">
      <c r="A25" s="262">
        <f t="shared" si="6"/>
        <v>9</v>
      </c>
      <c r="B25" s="274" t="s">
        <v>253</v>
      </c>
      <c r="C25" s="274"/>
      <c r="D25" s="275">
        <v>45835</v>
      </c>
      <c r="E25" s="262" t="s">
        <v>219</v>
      </c>
      <c r="H25" s="3" t="s">
        <v>315</v>
      </c>
    </row>
    <row r="26" spans="1:23" x14ac:dyDescent="0.25">
      <c r="A26" s="262">
        <f t="shared" si="6"/>
        <v>10</v>
      </c>
      <c r="B26" s="274" t="s">
        <v>254</v>
      </c>
      <c r="C26" s="274"/>
      <c r="D26" s="275">
        <v>45836</v>
      </c>
      <c r="E26" s="262" t="s">
        <v>255</v>
      </c>
    </row>
    <row r="27" spans="1:23" x14ac:dyDescent="0.25">
      <c r="A27" s="262">
        <f t="shared" si="6"/>
        <v>11</v>
      </c>
      <c r="B27" s="274" t="s">
        <v>256</v>
      </c>
      <c r="C27" s="274"/>
      <c r="D27" s="275">
        <v>45839</v>
      </c>
      <c r="E27" s="262" t="s">
        <v>221</v>
      </c>
    </row>
    <row r="28" spans="1:23" x14ac:dyDescent="0.25">
      <c r="A28" s="262">
        <f t="shared" si="6"/>
        <v>12</v>
      </c>
      <c r="B28" s="274" t="s">
        <v>257</v>
      </c>
      <c r="C28" s="274" t="s">
        <v>258</v>
      </c>
      <c r="D28" s="287" t="s">
        <v>259</v>
      </c>
      <c r="E28" s="262" t="s">
        <v>247</v>
      </c>
    </row>
    <row r="29" spans="1:23" x14ac:dyDescent="0.25">
      <c r="A29" s="262">
        <f t="shared" si="6"/>
        <v>13</v>
      </c>
      <c r="B29" s="274" t="s">
        <v>260</v>
      </c>
      <c r="C29" s="274"/>
      <c r="D29" s="275">
        <v>45856</v>
      </c>
      <c r="E29" s="262" t="s">
        <v>219</v>
      </c>
    </row>
    <row r="30" spans="1:23" x14ac:dyDescent="0.25">
      <c r="A30" s="262">
        <f t="shared" si="6"/>
        <v>14</v>
      </c>
      <c r="B30" s="288" t="s">
        <v>261</v>
      </c>
      <c r="C30" s="288" t="s">
        <v>262</v>
      </c>
      <c r="D30" s="289">
        <v>45865</v>
      </c>
      <c r="E30" s="262" t="s">
        <v>241</v>
      </c>
      <c r="O30">
        <f>18/3</f>
        <v>6</v>
      </c>
    </row>
    <row r="31" spans="1:23" x14ac:dyDescent="0.25">
      <c r="A31" s="262">
        <f t="shared" si="6"/>
        <v>15</v>
      </c>
      <c r="B31" s="274" t="s">
        <v>263</v>
      </c>
      <c r="C31" s="274"/>
      <c r="D31" s="289">
        <v>45863</v>
      </c>
      <c r="E31" s="262" t="s">
        <v>264</v>
      </c>
    </row>
    <row r="32" spans="1:23" x14ac:dyDescent="0.25">
      <c r="A32" s="262">
        <f t="shared" si="6"/>
        <v>16</v>
      </c>
      <c r="B32" s="274" t="s">
        <v>265</v>
      </c>
      <c r="D32" s="61">
        <v>46228</v>
      </c>
      <c r="E32" s="262" t="s">
        <v>264</v>
      </c>
    </row>
    <row r="33" spans="1:15" x14ac:dyDescent="0.25">
      <c r="A33" s="262">
        <f t="shared" si="6"/>
        <v>17</v>
      </c>
      <c r="B33" s="274" t="s">
        <v>266</v>
      </c>
      <c r="C33" s="274"/>
      <c r="D33" s="289">
        <v>45870</v>
      </c>
      <c r="E33" s="262" t="s">
        <v>219</v>
      </c>
    </row>
    <row r="34" spans="1:15" x14ac:dyDescent="0.25">
      <c r="A34" s="262">
        <f t="shared" si="6"/>
        <v>18</v>
      </c>
      <c r="B34" s="274" t="s">
        <v>267</v>
      </c>
      <c r="C34" s="274"/>
      <c r="D34" s="289">
        <v>45874</v>
      </c>
      <c r="E34" s="262" t="s">
        <v>268</v>
      </c>
    </row>
    <row r="35" spans="1:15" s="510" customFormat="1" x14ac:dyDescent="0.25">
      <c r="A35" s="505">
        <f t="shared" si="6"/>
        <v>19</v>
      </c>
      <c r="B35" s="506" t="s">
        <v>269</v>
      </c>
      <c r="C35" s="506" t="s">
        <v>270</v>
      </c>
      <c r="D35" s="507">
        <v>45875</v>
      </c>
      <c r="E35" s="508" t="s">
        <v>219</v>
      </c>
      <c r="F35" s="509" t="s">
        <v>271</v>
      </c>
    </row>
    <row r="36" spans="1:15" x14ac:dyDescent="0.25">
      <c r="A36" s="262">
        <f>A34+1</f>
        <v>19</v>
      </c>
      <c r="B36" s="274" t="s">
        <v>272</v>
      </c>
      <c r="C36" s="274"/>
      <c r="D36" s="289">
        <v>45878</v>
      </c>
      <c r="E36" s="262" t="s">
        <v>273</v>
      </c>
    </row>
    <row r="37" spans="1:15" x14ac:dyDescent="0.25">
      <c r="A37" s="262">
        <f t="shared" si="6"/>
        <v>20</v>
      </c>
      <c r="B37" s="274" t="s">
        <v>274</v>
      </c>
      <c r="C37" s="274" t="s">
        <v>275</v>
      </c>
      <c r="D37" s="289">
        <v>45898</v>
      </c>
      <c r="E37" s="262" t="s">
        <v>219</v>
      </c>
    </row>
    <row r="38" spans="1:15" x14ac:dyDescent="0.25">
      <c r="A38" s="262">
        <f t="shared" si="6"/>
        <v>21</v>
      </c>
      <c r="B38" s="274" t="s">
        <v>276</v>
      </c>
      <c r="C38" s="274" t="s">
        <v>277</v>
      </c>
      <c r="D38" s="289">
        <v>45941</v>
      </c>
      <c r="E38" s="262" t="s">
        <v>221</v>
      </c>
    </row>
    <row r="39" spans="1:15" x14ac:dyDescent="0.25">
      <c r="A39" s="262">
        <f t="shared" si="6"/>
        <v>22</v>
      </c>
      <c r="B39" s="274" t="s">
        <v>278</v>
      </c>
      <c r="C39" s="274"/>
      <c r="D39" s="290">
        <v>45975</v>
      </c>
      <c r="E39" s="262" t="s">
        <v>221</v>
      </c>
      <c r="G39" s="291"/>
    </row>
    <row r="40" spans="1:15" x14ac:dyDescent="0.25">
      <c r="A40" s="262">
        <f t="shared" si="6"/>
        <v>23</v>
      </c>
      <c r="B40" s="274" t="s">
        <v>279</v>
      </c>
      <c r="C40" s="274"/>
      <c r="D40" s="289">
        <v>45962</v>
      </c>
      <c r="E40" s="262" t="s">
        <v>280</v>
      </c>
      <c r="I40" s="292"/>
      <c r="J40" s="292"/>
      <c r="K40" s="292"/>
      <c r="L40" s="181"/>
      <c r="M40" s="181"/>
      <c r="N40" s="181"/>
      <c r="O40" s="181"/>
    </row>
    <row r="41" spans="1:15" x14ac:dyDescent="0.25">
      <c r="A41" s="262">
        <f t="shared" si="6"/>
        <v>24</v>
      </c>
      <c r="B41" s="274" t="s">
        <v>281</v>
      </c>
      <c r="C41" s="274"/>
      <c r="D41" s="275">
        <v>45965</v>
      </c>
      <c r="E41" s="262" t="s">
        <v>221</v>
      </c>
      <c r="I41" s="292"/>
      <c r="J41" s="292"/>
      <c r="K41" s="292"/>
      <c r="L41" s="181"/>
      <c r="M41" s="181"/>
      <c r="N41" s="181"/>
      <c r="O41" s="181"/>
    </row>
    <row r="42" spans="1:15" x14ac:dyDescent="0.25">
      <c r="A42" s="262">
        <f t="shared" si="6"/>
        <v>25</v>
      </c>
      <c r="B42" s="274" t="s">
        <v>282</v>
      </c>
      <c r="C42" s="274" t="s">
        <v>283</v>
      </c>
      <c r="D42" s="289">
        <v>45985</v>
      </c>
      <c r="E42" s="262" t="s">
        <v>221</v>
      </c>
    </row>
    <row r="43" spans="1:15" x14ac:dyDescent="0.25">
      <c r="A43" s="262">
        <f t="shared" si="6"/>
        <v>26</v>
      </c>
      <c r="B43" s="274" t="s">
        <v>284</v>
      </c>
      <c r="C43" s="274" t="s">
        <v>285</v>
      </c>
      <c r="D43" s="275">
        <v>45987</v>
      </c>
      <c r="E43" s="262" t="s">
        <v>286</v>
      </c>
    </row>
    <row r="44" spans="1:15" x14ac:dyDescent="0.25">
      <c r="A44" s="262">
        <f t="shared" si="6"/>
        <v>27</v>
      </c>
      <c r="B44" s="274" t="s">
        <v>287</v>
      </c>
      <c r="C44" s="274" t="s">
        <v>288</v>
      </c>
      <c r="D44" s="289">
        <v>45993</v>
      </c>
      <c r="E44" s="262" t="s">
        <v>219</v>
      </c>
      <c r="H44">
        <f>31/117</f>
        <v>0.26495726495726496</v>
      </c>
      <c r="J44">
        <f>48-15</f>
        <v>33</v>
      </c>
    </row>
    <row r="45" spans="1:15" x14ac:dyDescent="0.25">
      <c r="A45" s="262">
        <f t="shared" si="6"/>
        <v>28</v>
      </c>
      <c r="B45" s="293" t="s">
        <v>289</v>
      </c>
      <c r="C45" s="293" t="s">
        <v>290</v>
      </c>
      <c r="D45" s="294">
        <v>45997</v>
      </c>
      <c r="E45" s="295" t="s">
        <v>219</v>
      </c>
      <c r="F45" s="63">
        <f>A46/117</f>
        <v>0.24786324786324787</v>
      </c>
    </row>
    <row r="46" spans="1:15" x14ac:dyDescent="0.25">
      <c r="A46" s="262">
        <f t="shared" si="6"/>
        <v>29</v>
      </c>
      <c r="B46" s="293" t="s">
        <v>291</v>
      </c>
      <c r="C46" s="293" t="s">
        <v>292</v>
      </c>
      <c r="D46" s="294">
        <v>45999</v>
      </c>
      <c r="E46" s="295" t="s">
        <v>219</v>
      </c>
    </row>
    <row r="47" spans="1:15" x14ac:dyDescent="0.25">
      <c r="A47" s="262">
        <f t="shared" si="6"/>
        <v>30</v>
      </c>
      <c r="B47" s="274" t="s">
        <v>293</v>
      </c>
      <c r="C47" s="274" t="s">
        <v>294</v>
      </c>
      <c r="D47" s="289">
        <v>46002</v>
      </c>
      <c r="E47" s="262" t="s">
        <v>219</v>
      </c>
      <c r="G47" s="63">
        <f>30/117</f>
        <v>0.25641025641025639</v>
      </c>
    </row>
    <row r="48" spans="1:15" x14ac:dyDescent="0.25">
      <c r="A48" s="262">
        <f t="shared" si="6"/>
        <v>31</v>
      </c>
      <c r="B48" s="274" t="s">
        <v>295</v>
      </c>
      <c r="C48" s="274" t="s">
        <v>296</v>
      </c>
      <c r="D48" s="289">
        <v>46003</v>
      </c>
      <c r="E48" s="262" t="s">
        <v>221</v>
      </c>
    </row>
    <row r="49" spans="1:6" x14ac:dyDescent="0.25">
      <c r="A49" s="262">
        <f t="shared" si="6"/>
        <v>32</v>
      </c>
      <c r="B49" s="274" t="s">
        <v>297</v>
      </c>
      <c r="C49" s="274" t="s">
        <v>298</v>
      </c>
      <c r="D49" s="289">
        <v>46018</v>
      </c>
      <c r="E49" s="262" t="s">
        <v>221</v>
      </c>
    </row>
    <row r="50" spans="1:6" x14ac:dyDescent="0.25">
      <c r="A50" s="262">
        <f t="shared" si="6"/>
        <v>33</v>
      </c>
      <c r="B50" s="296" t="s">
        <v>21</v>
      </c>
      <c r="C50" s="296" t="s">
        <v>299</v>
      </c>
      <c r="D50" s="297">
        <v>46028</v>
      </c>
      <c r="E50" s="298" t="s">
        <v>300</v>
      </c>
    </row>
    <row r="51" spans="1:6" x14ac:dyDescent="0.25">
      <c r="A51" s="262">
        <f t="shared" si="6"/>
        <v>34</v>
      </c>
      <c r="B51" s="274" t="s">
        <v>301</v>
      </c>
      <c r="C51" s="274" t="s">
        <v>302</v>
      </c>
      <c r="D51" s="275">
        <v>46029</v>
      </c>
      <c r="E51" s="262" t="s">
        <v>219</v>
      </c>
    </row>
    <row r="52" spans="1:6" x14ac:dyDescent="0.25">
      <c r="A52" s="262">
        <f t="shared" si="6"/>
        <v>35</v>
      </c>
      <c r="B52" s="274" t="s">
        <v>297</v>
      </c>
      <c r="C52" s="274" t="s">
        <v>303</v>
      </c>
      <c r="D52" s="275">
        <v>46029</v>
      </c>
      <c r="E52" s="262" t="s">
        <v>221</v>
      </c>
    </row>
    <row r="53" spans="1:6" x14ac:dyDescent="0.25">
      <c r="A53" s="262">
        <f t="shared" si="6"/>
        <v>36</v>
      </c>
      <c r="B53" s="274" t="s">
        <v>23</v>
      </c>
      <c r="C53" s="274" t="s">
        <v>304</v>
      </c>
      <c r="D53" s="275">
        <v>46032</v>
      </c>
      <c r="E53" s="262" t="s">
        <v>221</v>
      </c>
    </row>
    <row r="54" spans="1:6" x14ac:dyDescent="0.25">
      <c r="A54" s="262">
        <f t="shared" si="6"/>
        <v>37</v>
      </c>
      <c r="B54" s="274" t="s">
        <v>24</v>
      </c>
      <c r="C54" s="274" t="s">
        <v>305</v>
      </c>
      <c r="D54" s="289">
        <v>46037</v>
      </c>
      <c r="E54" s="262" t="s">
        <v>221</v>
      </c>
    </row>
    <row r="55" spans="1:6" x14ac:dyDescent="0.25">
      <c r="A55" s="262">
        <f t="shared" si="6"/>
        <v>38</v>
      </c>
      <c r="B55" s="296" t="s">
        <v>306</v>
      </c>
      <c r="C55" s="296" t="s">
        <v>307</v>
      </c>
      <c r="D55" s="297">
        <v>46037</v>
      </c>
      <c r="E55" s="298" t="s">
        <v>221</v>
      </c>
    </row>
    <row r="56" spans="1:6" x14ac:dyDescent="0.25">
      <c r="A56" s="262">
        <f t="shared" si="6"/>
        <v>39</v>
      </c>
      <c r="B56" s="274" t="s">
        <v>308</v>
      </c>
      <c r="C56" s="274" t="s">
        <v>309</v>
      </c>
      <c r="D56" s="275">
        <v>46037</v>
      </c>
      <c r="E56" s="262" t="s">
        <v>69</v>
      </c>
    </row>
    <row r="57" spans="1:6" x14ac:dyDescent="0.25">
      <c r="A57" s="262">
        <f t="shared" si="6"/>
        <v>40</v>
      </c>
      <c r="B57" s="274" t="s">
        <v>312</v>
      </c>
      <c r="C57" s="274" t="s">
        <v>313</v>
      </c>
      <c r="D57" s="275">
        <v>46053</v>
      </c>
      <c r="E57" s="262" t="s">
        <v>22</v>
      </c>
    </row>
    <row r="58" spans="1:6" x14ac:dyDescent="0.25">
      <c r="A58" s="262">
        <f t="shared" si="6"/>
        <v>41</v>
      </c>
      <c r="B58" s="274" t="s">
        <v>227</v>
      </c>
      <c r="C58" s="274" t="s">
        <v>228</v>
      </c>
      <c r="D58" s="275">
        <v>46063</v>
      </c>
      <c r="E58" s="262" t="s">
        <v>229</v>
      </c>
      <c r="F58" t="s">
        <v>553</v>
      </c>
    </row>
    <row r="59" spans="1:6" x14ac:dyDescent="0.25">
      <c r="A59" s="262">
        <f t="shared" si="6"/>
        <v>42</v>
      </c>
      <c r="B59" s="274" t="s">
        <v>231</v>
      </c>
      <c r="C59" s="274" t="s">
        <v>232</v>
      </c>
      <c r="D59" s="275">
        <v>46066</v>
      </c>
      <c r="E59" s="262" t="s">
        <v>219</v>
      </c>
      <c r="F59" t="s">
        <v>553</v>
      </c>
    </row>
    <row r="60" spans="1:6" x14ac:dyDescent="0.25">
      <c r="A60" s="262">
        <f t="shared" si="6"/>
        <v>43</v>
      </c>
      <c r="B60" s="274" t="s">
        <v>692</v>
      </c>
      <c r="C60" s="501" t="s">
        <v>693</v>
      </c>
      <c r="D60" s="275">
        <v>46067</v>
      </c>
      <c r="E60" s="262" t="s">
        <v>22</v>
      </c>
    </row>
    <row r="61" spans="1:6" x14ac:dyDescent="0.25">
      <c r="A61" s="262">
        <f t="shared" si="6"/>
        <v>44</v>
      </c>
      <c r="B61" s="890" t="s">
        <v>466</v>
      </c>
      <c r="C61" s="890" t="s">
        <v>467</v>
      </c>
      <c r="D61" s="891">
        <v>46073</v>
      </c>
      <c r="E61" s="892" t="s">
        <v>69</v>
      </c>
      <c r="F61" t="s">
        <v>553</v>
      </c>
    </row>
    <row r="62" spans="1:6" x14ac:dyDescent="0.25">
      <c r="A62" s="262">
        <f t="shared" si="6"/>
        <v>45</v>
      </c>
      <c r="B62" s="500" t="s">
        <v>526</v>
      </c>
      <c r="C62" s="500" t="s">
        <v>310</v>
      </c>
      <c r="D62" s="61">
        <v>46073</v>
      </c>
      <c r="E62" s="262"/>
      <c r="F62" t="s">
        <v>553</v>
      </c>
    </row>
    <row r="63" spans="1:6" x14ac:dyDescent="0.25">
      <c r="A63" s="262">
        <f t="shared" si="6"/>
        <v>46</v>
      </c>
      <c r="B63" s="274" t="s">
        <v>352</v>
      </c>
      <c r="C63" s="274" t="s">
        <v>226</v>
      </c>
      <c r="D63" s="275">
        <v>46076</v>
      </c>
      <c r="E63" s="262" t="s">
        <v>69</v>
      </c>
      <c r="F63" t="s">
        <v>553</v>
      </c>
    </row>
    <row r="64" spans="1:6" x14ac:dyDescent="0.25">
      <c r="A64" s="262">
        <f t="shared" si="6"/>
        <v>47</v>
      </c>
      <c r="B64" s="274" t="s">
        <v>525</v>
      </c>
      <c r="C64" s="274" t="s">
        <v>235</v>
      </c>
      <c r="D64" s="275">
        <v>46080</v>
      </c>
      <c r="E64" s="262" t="s">
        <v>219</v>
      </c>
    </row>
    <row r="65" spans="1:5" x14ac:dyDescent="0.25">
      <c r="A65" s="262">
        <f t="shared" ref="A65:A74" si="8">A64+1</f>
        <v>48</v>
      </c>
      <c r="B65" s="293" t="s">
        <v>476</v>
      </c>
      <c r="C65" s="293" t="s">
        <v>234</v>
      </c>
      <c r="D65" s="996">
        <v>46085</v>
      </c>
      <c r="E65" s="295" t="s">
        <v>22</v>
      </c>
    </row>
    <row r="66" spans="1:5" x14ac:dyDescent="0.25">
      <c r="A66" s="262">
        <f t="shared" si="8"/>
        <v>49</v>
      </c>
      <c r="B66" s="293" t="s">
        <v>550</v>
      </c>
      <c r="C66" s="293" t="s">
        <v>745</v>
      </c>
      <c r="D66" s="996">
        <v>46094</v>
      </c>
      <c r="E66" s="295" t="s">
        <v>69</v>
      </c>
    </row>
    <row r="67" spans="1:5" x14ac:dyDescent="0.25">
      <c r="A67" s="262">
        <f t="shared" si="8"/>
        <v>50</v>
      </c>
      <c r="B67" s="293" t="s">
        <v>552</v>
      </c>
      <c r="C67" s="293" t="s">
        <v>551</v>
      </c>
      <c r="D67" s="996">
        <v>46094</v>
      </c>
      <c r="E67" s="295" t="s">
        <v>73</v>
      </c>
    </row>
    <row r="68" spans="1:5" x14ac:dyDescent="0.25">
      <c r="A68" s="262">
        <f t="shared" si="8"/>
        <v>51</v>
      </c>
      <c r="B68" s="274" t="s">
        <v>477</v>
      </c>
      <c r="C68" s="274" t="s">
        <v>237</v>
      </c>
      <c r="D68" s="275">
        <v>46108</v>
      </c>
      <c r="E68" s="262" t="s">
        <v>22</v>
      </c>
    </row>
    <row r="69" spans="1:5" x14ac:dyDescent="0.25">
      <c r="A69" s="262">
        <f t="shared" si="8"/>
        <v>52</v>
      </c>
      <c r="B69" s="274" t="s">
        <v>755</v>
      </c>
      <c r="C69" s="274" t="s">
        <v>752</v>
      </c>
      <c r="D69" s="275">
        <v>46108</v>
      </c>
      <c r="E69" s="262" t="s">
        <v>69</v>
      </c>
    </row>
    <row r="70" spans="1:5" x14ac:dyDescent="0.25">
      <c r="A70" s="262">
        <f t="shared" si="8"/>
        <v>53</v>
      </c>
      <c r="B70" s="274" t="s">
        <v>751</v>
      </c>
      <c r="C70" s="274" t="s">
        <v>746</v>
      </c>
      <c r="D70" s="275">
        <v>46111</v>
      </c>
      <c r="E70" s="262" t="s">
        <v>69</v>
      </c>
    </row>
    <row r="71" spans="1:5" x14ac:dyDescent="0.25">
      <c r="A71" s="262">
        <f t="shared" si="8"/>
        <v>54</v>
      </c>
      <c r="B71" s="1045" t="s">
        <v>389</v>
      </c>
      <c r="C71" s="267" t="s">
        <v>691</v>
      </c>
      <c r="D71" s="268">
        <v>46127</v>
      </c>
      <c r="E71" s="269" t="s">
        <v>65</v>
      </c>
    </row>
    <row r="72" spans="1:5" x14ac:dyDescent="0.25">
      <c r="A72" s="262">
        <f t="shared" si="8"/>
        <v>55</v>
      </c>
      <c r="B72" s="267" t="s">
        <v>809</v>
      </c>
      <c r="C72" s="267" t="s">
        <v>810</v>
      </c>
      <c r="D72" s="268">
        <v>46127</v>
      </c>
      <c r="E72" s="269" t="s">
        <v>65</v>
      </c>
    </row>
    <row r="73" spans="1:5" x14ac:dyDescent="0.25">
      <c r="A73" s="262">
        <f t="shared" si="8"/>
        <v>56</v>
      </c>
      <c r="B73" s="274"/>
      <c r="C73" s="274"/>
      <c r="D73" s="289"/>
      <c r="E73" s="262"/>
    </row>
    <row r="74" spans="1:5" x14ac:dyDescent="0.25">
      <c r="A74" s="262">
        <f t="shared" si="8"/>
        <v>57</v>
      </c>
      <c r="B74" s="274"/>
      <c r="C74" s="274"/>
      <c r="D74" s="289"/>
      <c r="E74" s="262"/>
    </row>
    <row r="75" spans="1:5" x14ac:dyDescent="0.25">
      <c r="A75" s="262"/>
      <c r="B75" s="274"/>
      <c r="C75" s="274"/>
      <c r="D75" s="289"/>
      <c r="E75" s="262"/>
    </row>
    <row r="76" spans="1:5" x14ac:dyDescent="0.25">
      <c r="A76" s="262"/>
      <c r="B76" s="274"/>
      <c r="C76" s="274"/>
      <c r="D76" s="289"/>
      <c r="E76" s="262"/>
    </row>
    <row r="77" spans="1:5" x14ac:dyDescent="0.25">
      <c r="A77" s="1048"/>
      <c r="B77" s="1049" t="s">
        <v>311</v>
      </c>
      <c r="C77" s="1049"/>
      <c r="D77" s="1048" t="s">
        <v>224</v>
      </c>
      <c r="E77" s="1048" t="s">
        <v>225</v>
      </c>
    </row>
    <row r="78" spans="1:5" x14ac:dyDescent="0.25">
      <c r="A78" s="262"/>
      <c r="B78" s="274"/>
      <c r="C78" s="274"/>
      <c r="D78" s="275"/>
      <c r="E78" s="262"/>
    </row>
    <row r="79" spans="1:5" x14ac:dyDescent="0.25">
      <c r="A79" s="262"/>
      <c r="B79" s="274"/>
      <c r="C79" s="274"/>
      <c r="D79" s="275"/>
      <c r="E79" s="262"/>
    </row>
    <row r="80" spans="1:5" x14ac:dyDescent="0.25">
      <c r="A80" s="262"/>
      <c r="B80" s="274"/>
      <c r="C80" s="274"/>
      <c r="D80" s="275"/>
      <c r="E80" s="262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FADB-7B4E-4643-9F0B-675DB7DE3D0D}">
  <dimension ref="A1:U29"/>
  <sheetViews>
    <sheetView workbookViewId="0">
      <pane ySplit="3" topLeftCell="A4" activePane="bottomLeft" state="frozen"/>
      <selection pane="bottomLeft" activeCell="C19" sqref="C19"/>
    </sheetView>
  </sheetViews>
  <sheetFormatPr defaultRowHeight="15" outlineLevelRow="1" outlineLevelCol="1" x14ac:dyDescent="0.25"/>
  <cols>
    <col min="2" max="2" width="9.140625" customWidth="1" outlineLevel="1"/>
    <col min="3" max="6" width="9.140625" style="182"/>
    <col min="7" max="7" width="8.5703125" style="182" bestFit="1" customWidth="1"/>
    <col min="8" max="8" width="9.140625" style="182"/>
    <col min="9" max="9" width="3.28515625" customWidth="1"/>
    <col min="10" max="10" width="9" style="59" customWidth="1"/>
    <col min="11" max="11" width="14" style="59" customWidth="1"/>
    <col min="12" max="12" width="9.140625" style="59"/>
    <col min="13" max="13" width="9.7109375" style="59" customWidth="1"/>
    <col min="14" max="20" width="9.140625" style="59"/>
    <col min="21" max="21" width="9.140625" style="171"/>
  </cols>
  <sheetData>
    <row r="1" spans="1:21" ht="49.5" customHeight="1" x14ac:dyDescent="0.25">
      <c r="A1" s="3" t="s">
        <v>153</v>
      </c>
    </row>
    <row r="2" spans="1:21" ht="22.5" customHeight="1" x14ac:dyDescent="0.25">
      <c r="A2" s="1191" t="s">
        <v>20</v>
      </c>
      <c r="B2" s="1191"/>
      <c r="C2" s="1191"/>
      <c r="D2" s="1191"/>
      <c r="E2" s="1191"/>
      <c r="F2" s="1191"/>
      <c r="G2" s="1191"/>
      <c r="H2" s="1191"/>
    </row>
    <row r="3" spans="1:21" s="60" customFormat="1" ht="30" x14ac:dyDescent="0.25">
      <c r="A3" s="198"/>
      <c r="B3" s="198"/>
      <c r="C3" s="488" t="s">
        <v>178</v>
      </c>
      <c r="D3" s="488" t="s">
        <v>88</v>
      </c>
      <c r="E3" s="488" t="s">
        <v>92</v>
      </c>
      <c r="F3" s="488" t="s">
        <v>91</v>
      </c>
      <c r="G3" s="488" t="s">
        <v>125</v>
      </c>
      <c r="H3" s="488" t="s">
        <v>126</v>
      </c>
      <c r="J3" s="173" t="s">
        <v>173</v>
      </c>
      <c r="K3" s="173" t="s">
        <v>96</v>
      </c>
      <c r="L3" s="173" t="s">
        <v>95</v>
      </c>
      <c r="M3" s="173" t="s">
        <v>97</v>
      </c>
      <c r="N3" s="173" t="s">
        <v>142</v>
      </c>
      <c r="O3" s="173" t="s">
        <v>174</v>
      </c>
      <c r="P3" s="173" t="s">
        <v>176</v>
      </c>
      <c r="Q3" s="173" t="s">
        <v>175</v>
      </c>
      <c r="R3" s="173" t="s">
        <v>181</v>
      </c>
      <c r="S3" s="173" t="s">
        <v>179</v>
      </c>
      <c r="T3" s="173" t="s">
        <v>180</v>
      </c>
      <c r="U3" s="180" t="s">
        <v>177</v>
      </c>
    </row>
    <row r="4" spans="1:21" x14ac:dyDescent="0.25">
      <c r="A4" s="199" t="s">
        <v>151</v>
      </c>
      <c r="B4" s="199" t="s">
        <v>152</v>
      </c>
      <c r="C4" s="489">
        <v>28</v>
      </c>
      <c r="D4" s="489">
        <v>14</v>
      </c>
      <c r="E4" s="489">
        <v>5</v>
      </c>
      <c r="F4" s="489">
        <f t="shared" ref="F4:F5" si="0">E4-G4-H4</f>
        <v>4</v>
      </c>
      <c r="G4" s="489">
        <v>1</v>
      </c>
      <c r="H4" s="489">
        <v>0</v>
      </c>
      <c r="J4" s="59">
        <v>11</v>
      </c>
      <c r="K4" s="59">
        <v>3</v>
      </c>
      <c r="L4" s="59">
        <v>2</v>
      </c>
      <c r="M4" s="59">
        <v>2</v>
      </c>
      <c r="N4" s="59">
        <v>6</v>
      </c>
      <c r="O4" s="59">
        <v>1</v>
      </c>
      <c r="P4" s="59">
        <v>2</v>
      </c>
      <c r="Q4" s="59">
        <v>1</v>
      </c>
      <c r="U4" s="171">
        <f>SUM(J4:R4)</f>
        <v>28</v>
      </c>
    </row>
    <row r="5" spans="1:21" x14ac:dyDescent="0.25">
      <c r="A5" s="199" t="s">
        <v>154</v>
      </c>
      <c r="B5" s="199" t="s">
        <v>170</v>
      </c>
      <c r="C5" s="489">
        <v>22</v>
      </c>
      <c r="D5" s="489">
        <v>10</v>
      </c>
      <c r="E5" s="489">
        <v>3</v>
      </c>
      <c r="F5" s="489">
        <f t="shared" si="0"/>
        <v>1</v>
      </c>
      <c r="G5" s="489">
        <v>0</v>
      </c>
      <c r="H5" s="489">
        <v>2</v>
      </c>
      <c r="J5" s="59">
        <v>6</v>
      </c>
      <c r="K5" s="59">
        <v>1</v>
      </c>
      <c r="L5" s="59">
        <v>2</v>
      </c>
      <c r="N5" s="59">
        <v>4</v>
      </c>
      <c r="P5" s="59">
        <v>4</v>
      </c>
      <c r="R5" s="59">
        <v>3</v>
      </c>
      <c r="S5" s="59">
        <v>1</v>
      </c>
      <c r="T5" s="59">
        <v>1</v>
      </c>
      <c r="U5" s="171">
        <f>SUM(J5:T5)</f>
        <v>22</v>
      </c>
    </row>
    <row r="6" spans="1:21" x14ac:dyDescent="0.25">
      <c r="A6" s="199" t="s">
        <v>155</v>
      </c>
      <c r="B6" s="199" t="s">
        <v>171</v>
      </c>
      <c r="C6" s="489">
        <v>23</v>
      </c>
      <c r="D6" s="489">
        <v>8</v>
      </c>
      <c r="E6" s="489">
        <v>3</v>
      </c>
      <c r="F6" s="489">
        <f>E6-G6-H6</f>
        <v>2</v>
      </c>
      <c r="G6" s="489">
        <v>1</v>
      </c>
      <c r="H6" s="489">
        <v>0</v>
      </c>
      <c r="J6" s="59">
        <v>8</v>
      </c>
      <c r="K6" s="59">
        <v>4</v>
      </c>
      <c r="L6" s="59">
        <v>0</v>
      </c>
      <c r="M6" s="59">
        <v>2</v>
      </c>
      <c r="N6" s="59">
        <v>3</v>
      </c>
      <c r="O6" s="59">
        <v>0</v>
      </c>
      <c r="P6" s="59">
        <v>2</v>
      </c>
      <c r="Q6" s="59">
        <v>0</v>
      </c>
      <c r="R6" s="59">
        <v>3</v>
      </c>
      <c r="S6" s="59">
        <v>0</v>
      </c>
      <c r="T6" s="59">
        <v>1</v>
      </c>
      <c r="U6" s="171">
        <f>SUM(J6:T6)</f>
        <v>23</v>
      </c>
    </row>
    <row r="7" spans="1:21" x14ac:dyDescent="0.25">
      <c r="A7" s="199" t="s">
        <v>156</v>
      </c>
      <c r="B7" s="199" t="s">
        <v>172</v>
      </c>
      <c r="C7" s="489">
        <v>25</v>
      </c>
      <c r="D7" s="489">
        <v>7</v>
      </c>
      <c r="E7" s="489">
        <v>2</v>
      </c>
      <c r="F7" s="489">
        <f t="shared" ref="F7:F19" si="1">E7-G7-H7</f>
        <v>1</v>
      </c>
      <c r="G7" s="489">
        <v>0</v>
      </c>
      <c r="H7" s="489">
        <v>1</v>
      </c>
      <c r="U7" s="171">
        <f>SUM(J7:R7)</f>
        <v>0</v>
      </c>
    </row>
    <row r="8" spans="1:21" x14ac:dyDescent="0.25">
      <c r="A8" s="199" t="s">
        <v>157</v>
      </c>
      <c r="B8" s="199" t="s">
        <v>481</v>
      </c>
      <c r="C8" s="489">
        <v>24</v>
      </c>
      <c r="D8" s="489">
        <v>8</v>
      </c>
      <c r="E8" s="489">
        <v>2</v>
      </c>
      <c r="F8" s="489">
        <v>0</v>
      </c>
      <c r="G8" s="489">
        <v>0</v>
      </c>
      <c r="H8" s="489">
        <v>1</v>
      </c>
    </row>
    <row r="9" spans="1:21" s="3" customFormat="1" ht="15.75" thickBot="1" x14ac:dyDescent="0.3">
      <c r="A9" s="200" t="s">
        <v>528</v>
      </c>
      <c r="B9" s="201"/>
      <c r="C9" s="490">
        <f t="shared" ref="C9:H9" si="2">SUM(C4:C8)</f>
        <v>122</v>
      </c>
      <c r="D9" s="490">
        <f t="shared" si="2"/>
        <v>47</v>
      </c>
      <c r="E9" s="490">
        <f t="shared" si="2"/>
        <v>15</v>
      </c>
      <c r="F9" s="490">
        <f t="shared" si="2"/>
        <v>8</v>
      </c>
      <c r="G9" s="490">
        <f t="shared" si="2"/>
        <v>2</v>
      </c>
      <c r="H9" s="490">
        <f t="shared" si="2"/>
        <v>4</v>
      </c>
      <c r="J9" s="195">
        <f>SUM(J4:J7)</f>
        <v>25</v>
      </c>
      <c r="K9" s="195">
        <f t="shared" ref="K9:U9" si="3">SUM(K4:K7)</f>
        <v>8</v>
      </c>
      <c r="L9" s="195">
        <f t="shared" si="3"/>
        <v>4</v>
      </c>
      <c r="M9" s="195">
        <f t="shared" si="3"/>
        <v>4</v>
      </c>
      <c r="N9" s="195">
        <f t="shared" si="3"/>
        <v>13</v>
      </c>
      <c r="O9" s="195">
        <f t="shared" si="3"/>
        <v>1</v>
      </c>
      <c r="P9" s="195">
        <f t="shared" si="3"/>
        <v>8</v>
      </c>
      <c r="Q9" s="195">
        <f t="shared" si="3"/>
        <v>1</v>
      </c>
      <c r="R9" s="195">
        <f t="shared" si="3"/>
        <v>6</v>
      </c>
      <c r="S9" s="195">
        <f t="shared" si="3"/>
        <v>1</v>
      </c>
      <c r="T9" s="195">
        <f t="shared" si="3"/>
        <v>2</v>
      </c>
      <c r="U9" s="195">
        <f t="shared" si="3"/>
        <v>73</v>
      </c>
    </row>
    <row r="10" spans="1:21" s="196" customFormat="1" ht="13.5" x14ac:dyDescent="0.25">
      <c r="A10" s="202" t="s">
        <v>183</v>
      </c>
      <c r="B10" s="202"/>
      <c r="C10" s="491"/>
      <c r="D10" s="492">
        <f>D9/C9</f>
        <v>0.38524590163934425</v>
      </c>
      <c r="E10" s="492">
        <f>E9/D9</f>
        <v>0.31914893617021278</v>
      </c>
      <c r="F10" s="492">
        <f>F9/E9</f>
        <v>0.53333333333333333</v>
      </c>
      <c r="G10" s="493"/>
      <c r="H10" s="493"/>
      <c r="J10" s="197">
        <f t="shared" ref="J10:U10" si="4">J9/$U$28</f>
        <v>0.34246575342465752</v>
      </c>
      <c r="K10" s="197">
        <f t="shared" si="4"/>
        <v>0.1095890410958904</v>
      </c>
      <c r="L10" s="197">
        <f t="shared" si="4"/>
        <v>5.4794520547945202E-2</v>
      </c>
      <c r="M10" s="197">
        <f t="shared" si="4"/>
        <v>5.4794520547945202E-2</v>
      </c>
      <c r="N10" s="197">
        <f t="shared" si="4"/>
        <v>0.17808219178082191</v>
      </c>
      <c r="O10" s="197">
        <f t="shared" si="4"/>
        <v>1.3698630136986301E-2</v>
      </c>
      <c r="P10" s="197">
        <f t="shared" si="4"/>
        <v>0.1095890410958904</v>
      </c>
      <c r="Q10" s="197">
        <f t="shared" si="4"/>
        <v>1.3698630136986301E-2</v>
      </c>
      <c r="R10" s="197">
        <f t="shared" si="4"/>
        <v>8.2191780821917804E-2</v>
      </c>
      <c r="S10" s="197">
        <f t="shared" si="4"/>
        <v>1.3698630136986301E-2</v>
      </c>
      <c r="T10" s="197">
        <f t="shared" si="4"/>
        <v>2.7397260273972601E-2</v>
      </c>
      <c r="U10" s="197">
        <f t="shared" si="4"/>
        <v>1</v>
      </c>
    </row>
    <row r="11" spans="1:21" s="196" customFormat="1" x14ac:dyDescent="0.25">
      <c r="A11" s="1191">
        <v>46054</v>
      </c>
      <c r="B11" s="1191"/>
      <c r="C11" s="1191"/>
      <c r="D11" s="1191"/>
      <c r="E11" s="1191"/>
      <c r="F11" s="1191"/>
      <c r="G11" s="1191"/>
      <c r="H11" s="1191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</row>
    <row r="12" spans="1:21" s="196" customFormat="1" x14ac:dyDescent="0.25">
      <c r="A12" s="883"/>
      <c r="B12" s="883"/>
      <c r="C12" s="488" t="s">
        <v>178</v>
      </c>
      <c r="D12" s="488" t="s">
        <v>88</v>
      </c>
      <c r="E12" s="488" t="s">
        <v>92</v>
      </c>
      <c r="F12" s="488" t="s">
        <v>91</v>
      </c>
      <c r="G12" s="488" t="s">
        <v>125</v>
      </c>
      <c r="H12" s="488" t="s">
        <v>126</v>
      </c>
      <c r="J12" s="884"/>
      <c r="K12" s="884"/>
      <c r="L12" s="884"/>
      <c r="M12" s="884"/>
      <c r="N12" s="884"/>
      <c r="O12" s="884"/>
      <c r="P12" s="884"/>
      <c r="Q12" s="884"/>
      <c r="R12" s="884"/>
      <c r="S12" s="884"/>
      <c r="T12" s="884"/>
      <c r="U12" s="884"/>
    </row>
    <row r="13" spans="1:21" outlineLevel="1" x14ac:dyDescent="0.25">
      <c r="A13" s="199" t="s">
        <v>158</v>
      </c>
      <c r="B13" s="199" t="s">
        <v>480</v>
      </c>
      <c r="C13" s="489">
        <v>17</v>
      </c>
      <c r="D13" s="489">
        <v>9</v>
      </c>
      <c r="E13" s="489">
        <v>2</v>
      </c>
      <c r="F13" s="489">
        <v>2</v>
      </c>
      <c r="G13" s="489">
        <v>0</v>
      </c>
      <c r="H13" s="489">
        <v>0</v>
      </c>
      <c r="U13" s="171">
        <f>SUM(J13:R13)</f>
        <v>0</v>
      </c>
    </row>
    <row r="14" spans="1:21" outlineLevel="1" x14ac:dyDescent="0.25">
      <c r="A14" s="199" t="s">
        <v>159</v>
      </c>
      <c r="B14" s="199" t="s">
        <v>482</v>
      </c>
      <c r="C14" s="489">
        <v>16</v>
      </c>
      <c r="D14" s="489">
        <v>3</v>
      </c>
      <c r="E14" s="489">
        <v>1</v>
      </c>
      <c r="F14" s="489">
        <f t="shared" si="1"/>
        <v>1</v>
      </c>
      <c r="G14" s="489">
        <v>0</v>
      </c>
      <c r="H14" s="489">
        <v>0</v>
      </c>
      <c r="K14" s="59">
        <v>5</v>
      </c>
      <c r="M14" s="59">
        <v>4</v>
      </c>
      <c r="N14" s="59">
        <v>2</v>
      </c>
      <c r="S14" s="59">
        <v>2</v>
      </c>
      <c r="U14" s="171">
        <f>SUM(J14:R14)</f>
        <v>11</v>
      </c>
    </row>
    <row r="15" spans="1:21" outlineLevel="1" x14ac:dyDescent="0.25">
      <c r="A15" s="199" t="s">
        <v>160</v>
      </c>
      <c r="B15" s="199" t="s">
        <v>483</v>
      </c>
      <c r="C15" s="489">
        <v>19</v>
      </c>
      <c r="D15" s="489">
        <v>3</v>
      </c>
      <c r="E15" s="489">
        <v>2</v>
      </c>
      <c r="F15" s="489">
        <f t="shared" si="1"/>
        <v>1</v>
      </c>
      <c r="G15" s="489">
        <v>1</v>
      </c>
      <c r="H15" s="489">
        <v>0</v>
      </c>
      <c r="I15" s="489"/>
      <c r="J15" s="59">
        <v>3</v>
      </c>
      <c r="K15" s="59">
        <v>5</v>
      </c>
      <c r="L15" s="59">
        <v>1</v>
      </c>
      <c r="N15" s="59">
        <v>3</v>
      </c>
      <c r="P15" s="59">
        <v>4</v>
      </c>
      <c r="R15" s="59">
        <v>1</v>
      </c>
      <c r="S15" s="59">
        <v>1</v>
      </c>
    </row>
    <row r="16" spans="1:21" outlineLevel="1" x14ac:dyDescent="0.25">
      <c r="A16" s="199" t="s">
        <v>161</v>
      </c>
      <c r="B16" s="199" t="s">
        <v>484</v>
      </c>
      <c r="C16" s="489">
        <v>13</v>
      </c>
      <c r="D16" s="489">
        <v>3</v>
      </c>
      <c r="E16" s="489">
        <v>2</v>
      </c>
      <c r="F16" s="489">
        <f t="shared" si="1"/>
        <v>1</v>
      </c>
      <c r="G16" s="489">
        <v>0</v>
      </c>
      <c r="H16" s="489">
        <v>1</v>
      </c>
      <c r="J16" s="59">
        <v>6</v>
      </c>
      <c r="K16" s="59">
        <v>4</v>
      </c>
      <c r="L16" s="59">
        <v>1</v>
      </c>
      <c r="N16" s="59">
        <v>1</v>
      </c>
    </row>
    <row r="17" spans="1:21" ht="15.75" outlineLevel="1" thickBot="1" x14ac:dyDescent="0.3">
      <c r="A17" s="200" t="s">
        <v>529</v>
      </c>
      <c r="B17" s="502"/>
      <c r="C17" s="503">
        <f t="shared" ref="C17:H17" si="5">SUM(C13:C16)</f>
        <v>65</v>
      </c>
      <c r="D17" s="503">
        <f t="shared" si="5"/>
        <v>18</v>
      </c>
      <c r="E17" s="503">
        <f t="shared" si="5"/>
        <v>7</v>
      </c>
      <c r="F17" s="503">
        <f t="shared" si="5"/>
        <v>5</v>
      </c>
      <c r="G17" s="503">
        <f t="shared" si="5"/>
        <v>1</v>
      </c>
      <c r="H17" s="503">
        <f t="shared" si="5"/>
        <v>1</v>
      </c>
      <c r="J17" s="195">
        <f>SUM(J13:J16)</f>
        <v>9</v>
      </c>
      <c r="K17" s="195">
        <f t="shared" ref="K17:U17" si="6">SUM(K13:K16)</f>
        <v>14</v>
      </c>
      <c r="L17" s="195">
        <f t="shared" si="6"/>
        <v>2</v>
      </c>
      <c r="M17" s="195">
        <f t="shared" si="6"/>
        <v>4</v>
      </c>
      <c r="N17" s="195">
        <f t="shared" si="6"/>
        <v>6</v>
      </c>
      <c r="O17" s="195">
        <f t="shared" si="6"/>
        <v>0</v>
      </c>
      <c r="P17" s="195">
        <f t="shared" si="6"/>
        <v>4</v>
      </c>
      <c r="Q17" s="195">
        <f t="shared" si="6"/>
        <v>0</v>
      </c>
      <c r="R17" s="195">
        <f t="shared" si="6"/>
        <v>1</v>
      </c>
      <c r="S17" s="195">
        <f t="shared" si="6"/>
        <v>3</v>
      </c>
      <c r="T17" s="195">
        <f t="shared" si="6"/>
        <v>0</v>
      </c>
      <c r="U17" s="195">
        <f t="shared" si="6"/>
        <v>11</v>
      </c>
    </row>
    <row r="18" spans="1:21" outlineLevel="1" x14ac:dyDescent="0.25">
      <c r="A18" s="504"/>
      <c r="B18" s="199"/>
      <c r="C18" s="489"/>
      <c r="D18" s="489"/>
      <c r="E18" s="489"/>
      <c r="F18" s="489"/>
      <c r="G18" s="489"/>
      <c r="H18" s="489"/>
    </row>
    <row r="19" spans="1:21" outlineLevel="1" x14ac:dyDescent="0.25">
      <c r="A19" s="199" t="s">
        <v>162</v>
      </c>
      <c r="B19" s="199" t="s">
        <v>699</v>
      </c>
      <c r="C19" s="489">
        <v>6</v>
      </c>
      <c r="D19" s="489"/>
      <c r="E19" s="489"/>
      <c r="F19" s="489">
        <f t="shared" si="1"/>
        <v>0</v>
      </c>
      <c r="G19" s="489"/>
      <c r="H19" s="489"/>
    </row>
    <row r="20" spans="1:21" outlineLevel="1" x14ac:dyDescent="0.25">
      <c r="A20" s="199" t="s">
        <v>163</v>
      </c>
      <c r="B20" s="199"/>
      <c r="C20" s="489"/>
      <c r="D20" s="489"/>
      <c r="E20" s="489"/>
      <c r="F20" s="489"/>
      <c r="G20" s="489"/>
      <c r="H20" s="489"/>
    </row>
    <row r="21" spans="1:21" outlineLevel="1" x14ac:dyDescent="0.25">
      <c r="A21" s="199" t="s">
        <v>164</v>
      </c>
      <c r="B21" s="199"/>
      <c r="C21" s="489"/>
      <c r="D21" s="489"/>
      <c r="E21" s="489"/>
      <c r="F21" s="489"/>
      <c r="G21" s="489"/>
      <c r="H21" s="489"/>
    </row>
    <row r="22" spans="1:21" outlineLevel="1" x14ac:dyDescent="0.25">
      <c r="A22" s="199" t="s">
        <v>165</v>
      </c>
      <c r="B22" s="199"/>
      <c r="C22" s="489"/>
      <c r="D22" s="489"/>
      <c r="E22" s="489"/>
      <c r="F22" s="489"/>
      <c r="G22" s="489"/>
      <c r="H22" s="489"/>
    </row>
    <row r="23" spans="1:21" outlineLevel="1" x14ac:dyDescent="0.25">
      <c r="A23" s="199" t="s">
        <v>166</v>
      </c>
      <c r="B23" s="199"/>
      <c r="C23" s="489"/>
      <c r="D23" s="489"/>
      <c r="E23" s="489"/>
      <c r="F23" s="489"/>
      <c r="G23" s="489"/>
      <c r="H23" s="489"/>
    </row>
    <row r="24" spans="1:21" outlineLevel="1" x14ac:dyDescent="0.25">
      <c r="A24" s="199" t="s">
        <v>167</v>
      </c>
      <c r="B24" s="199"/>
      <c r="C24" s="489"/>
      <c r="D24" s="489"/>
      <c r="E24" s="489"/>
      <c r="F24" s="489"/>
      <c r="G24" s="489"/>
      <c r="H24" s="489"/>
    </row>
    <row r="25" spans="1:21" outlineLevel="1" x14ac:dyDescent="0.25">
      <c r="A25" s="199" t="s">
        <v>168</v>
      </c>
      <c r="B25" s="199"/>
      <c r="C25" s="489"/>
      <c r="D25" s="489"/>
      <c r="E25" s="489"/>
      <c r="F25" s="489"/>
      <c r="G25" s="489"/>
      <c r="H25" s="489"/>
    </row>
    <row r="26" spans="1:21" outlineLevel="1" x14ac:dyDescent="0.25">
      <c r="A26" s="199" t="s">
        <v>169</v>
      </c>
      <c r="B26" s="199"/>
      <c r="C26" s="489"/>
      <c r="D26" s="489"/>
      <c r="E26" s="489"/>
      <c r="F26" s="489"/>
      <c r="G26" s="489"/>
      <c r="H26" s="489"/>
    </row>
    <row r="27" spans="1:21" outlineLevel="1" x14ac:dyDescent="0.25">
      <c r="A27" s="199"/>
      <c r="B27" s="199"/>
      <c r="C27" s="489"/>
      <c r="D27" s="489"/>
      <c r="E27" s="489"/>
      <c r="F27" s="489"/>
      <c r="G27" s="489"/>
      <c r="H27" s="489"/>
    </row>
    <row r="28" spans="1:21" s="3" customFormat="1" ht="15.75" thickBot="1" x14ac:dyDescent="0.3">
      <c r="A28" s="200" t="s">
        <v>182</v>
      </c>
      <c r="B28" s="201">
        <f>SUM(B4:B27)</f>
        <v>0</v>
      </c>
      <c r="C28" s="490">
        <f>C9+C17</f>
        <v>187</v>
      </c>
      <c r="D28" s="490">
        <f>D9</f>
        <v>47</v>
      </c>
      <c r="E28" s="490">
        <f>E9</f>
        <v>15</v>
      </c>
      <c r="F28" s="490">
        <f>F9</f>
        <v>8</v>
      </c>
      <c r="G28" s="490">
        <f>G9</f>
        <v>2</v>
      </c>
      <c r="H28" s="490">
        <f>H9</f>
        <v>4</v>
      </c>
      <c r="J28" s="195">
        <f t="shared" ref="J28:U28" si="7">J9</f>
        <v>25</v>
      </c>
      <c r="K28" s="195">
        <f t="shared" si="7"/>
        <v>8</v>
      </c>
      <c r="L28" s="195">
        <f t="shared" si="7"/>
        <v>4</v>
      </c>
      <c r="M28" s="195">
        <f t="shared" si="7"/>
        <v>4</v>
      </c>
      <c r="N28" s="195">
        <f t="shared" si="7"/>
        <v>13</v>
      </c>
      <c r="O28" s="195">
        <f t="shared" si="7"/>
        <v>1</v>
      </c>
      <c r="P28" s="195">
        <f t="shared" si="7"/>
        <v>8</v>
      </c>
      <c r="Q28" s="195">
        <f t="shared" si="7"/>
        <v>1</v>
      </c>
      <c r="R28" s="195">
        <f t="shared" si="7"/>
        <v>6</v>
      </c>
      <c r="S28" s="195">
        <f t="shared" si="7"/>
        <v>1</v>
      </c>
      <c r="T28" s="195">
        <f t="shared" si="7"/>
        <v>2</v>
      </c>
      <c r="U28" s="195">
        <f t="shared" si="7"/>
        <v>73</v>
      </c>
    </row>
    <row r="29" spans="1:21" s="196" customFormat="1" ht="13.5" x14ac:dyDescent="0.25">
      <c r="A29" s="202" t="s">
        <v>183</v>
      </c>
      <c r="B29" s="202"/>
      <c r="C29" s="491"/>
      <c r="D29" s="492">
        <f>D28/C28</f>
        <v>0.25133689839572193</v>
      </c>
      <c r="E29" s="492">
        <f>E28/D28</f>
        <v>0.31914893617021278</v>
      </c>
      <c r="F29" s="492">
        <f>F28/E28</f>
        <v>0.53333333333333333</v>
      </c>
      <c r="G29" s="493"/>
      <c r="H29" s="493"/>
      <c r="J29" s="197">
        <f>J28/$U$28</f>
        <v>0.34246575342465752</v>
      </c>
      <c r="K29" s="197">
        <f t="shared" ref="K29:U29" si="8">K28/$U$28</f>
        <v>0.1095890410958904</v>
      </c>
      <c r="L29" s="197">
        <f t="shared" si="8"/>
        <v>5.4794520547945202E-2</v>
      </c>
      <c r="M29" s="197">
        <f t="shared" si="8"/>
        <v>5.4794520547945202E-2</v>
      </c>
      <c r="N29" s="197">
        <f t="shared" si="8"/>
        <v>0.17808219178082191</v>
      </c>
      <c r="O29" s="197">
        <f t="shared" si="8"/>
        <v>1.3698630136986301E-2</v>
      </c>
      <c r="P29" s="197">
        <f t="shared" si="8"/>
        <v>0.1095890410958904</v>
      </c>
      <c r="Q29" s="197">
        <f t="shared" si="8"/>
        <v>1.3698630136986301E-2</v>
      </c>
      <c r="R29" s="197">
        <f t="shared" si="8"/>
        <v>8.2191780821917804E-2</v>
      </c>
      <c r="S29" s="197">
        <f t="shared" si="8"/>
        <v>1.3698630136986301E-2</v>
      </c>
      <c r="T29" s="197">
        <f t="shared" si="8"/>
        <v>2.7397260273972601E-2</v>
      </c>
      <c r="U29" s="197">
        <f t="shared" si="8"/>
        <v>1</v>
      </c>
    </row>
  </sheetData>
  <mergeCells count="2">
    <mergeCell ref="A2:H2"/>
    <mergeCell ref="A11:H11"/>
  </mergeCells>
  <phoneticPr fontId="3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8FFD-2E3A-4D56-A2F7-1F04B905C8AF}">
  <dimension ref="B1:N25"/>
  <sheetViews>
    <sheetView workbookViewId="0">
      <selection activeCell="G31" sqref="G31"/>
    </sheetView>
  </sheetViews>
  <sheetFormatPr defaultRowHeight="15" x14ac:dyDescent="0.25"/>
  <cols>
    <col min="2" max="2" width="41" customWidth="1"/>
    <col min="3" max="14" width="12.7109375" customWidth="1"/>
  </cols>
  <sheetData>
    <row r="1" spans="2:14" x14ac:dyDescent="0.25">
      <c r="B1" s="3" t="s">
        <v>11</v>
      </c>
    </row>
    <row r="2" spans="2:14" ht="15.75" thickBot="1" x14ac:dyDescent="0.3"/>
    <row r="3" spans="2:14" x14ac:dyDescent="0.25">
      <c r="B3" s="20" t="s">
        <v>18</v>
      </c>
      <c r="C3" s="25">
        <v>46023</v>
      </c>
      <c r="D3" s="21">
        <v>46054</v>
      </c>
      <c r="E3" s="21">
        <v>46082</v>
      </c>
      <c r="F3" s="21">
        <v>46113</v>
      </c>
      <c r="G3" s="21">
        <v>46143</v>
      </c>
      <c r="H3" s="21">
        <v>46174</v>
      </c>
      <c r="I3" s="21">
        <v>46204</v>
      </c>
      <c r="J3" s="21">
        <v>46235</v>
      </c>
      <c r="K3" s="21">
        <v>46266</v>
      </c>
      <c r="L3" s="21">
        <v>46296</v>
      </c>
      <c r="M3" s="21">
        <v>46327</v>
      </c>
      <c r="N3" s="22">
        <v>46357</v>
      </c>
    </row>
    <row r="4" spans="2:14" x14ac:dyDescent="0.25">
      <c r="B4" s="2" t="s">
        <v>8</v>
      </c>
      <c r="C4" s="26">
        <v>33</v>
      </c>
      <c r="D4">
        <f>C6</f>
        <v>40</v>
      </c>
      <c r="E4">
        <f>D6</f>
        <v>45</v>
      </c>
      <c r="F4">
        <f>E6</f>
        <v>50</v>
      </c>
      <c r="G4">
        <f t="shared" ref="G4:N4" si="0">F6</f>
        <v>56</v>
      </c>
      <c r="H4">
        <f t="shared" si="0"/>
        <v>66</v>
      </c>
      <c r="I4">
        <f t="shared" si="0"/>
        <v>75</v>
      </c>
      <c r="J4">
        <f t="shared" si="0"/>
        <v>83</v>
      </c>
      <c r="K4">
        <f t="shared" si="0"/>
        <v>89</v>
      </c>
      <c r="L4">
        <f t="shared" si="0"/>
        <v>94</v>
      </c>
      <c r="M4">
        <f t="shared" si="0"/>
        <v>98</v>
      </c>
      <c r="N4" s="24">
        <f t="shared" si="0"/>
        <v>102</v>
      </c>
    </row>
    <row r="5" spans="2:14" x14ac:dyDescent="0.25">
      <c r="B5" s="2" t="s">
        <v>9</v>
      </c>
      <c r="C5" s="26">
        <f>C6-C4</f>
        <v>7</v>
      </c>
      <c r="D5">
        <v>5</v>
      </c>
      <c r="E5">
        <v>5</v>
      </c>
      <c r="F5">
        <v>6</v>
      </c>
      <c r="G5">
        <v>10</v>
      </c>
      <c r="H5">
        <v>9</v>
      </c>
      <c r="I5">
        <v>8</v>
      </c>
      <c r="J5">
        <v>6</v>
      </c>
      <c r="K5">
        <v>5</v>
      </c>
      <c r="L5">
        <v>4</v>
      </c>
      <c r="M5">
        <v>4</v>
      </c>
      <c r="N5" s="23">
        <v>3</v>
      </c>
    </row>
    <row r="6" spans="2:14" x14ac:dyDescent="0.25">
      <c r="B6" s="48" t="s">
        <v>10</v>
      </c>
      <c r="C6" s="49">
        <v>40</v>
      </c>
      <c r="D6" s="50">
        <f>D5+D4</f>
        <v>45</v>
      </c>
      <c r="E6" s="50">
        <f t="shared" ref="E6:N6" si="1">E5+E4</f>
        <v>50</v>
      </c>
      <c r="F6" s="50">
        <f t="shared" si="1"/>
        <v>56</v>
      </c>
      <c r="G6" s="50">
        <f t="shared" si="1"/>
        <v>66</v>
      </c>
      <c r="H6" s="50">
        <f t="shared" si="1"/>
        <v>75</v>
      </c>
      <c r="I6" s="50">
        <f t="shared" si="1"/>
        <v>83</v>
      </c>
      <c r="J6" s="50">
        <f t="shared" si="1"/>
        <v>89</v>
      </c>
      <c r="K6" s="50">
        <f t="shared" si="1"/>
        <v>94</v>
      </c>
      <c r="L6" s="50">
        <f t="shared" si="1"/>
        <v>98</v>
      </c>
      <c r="M6" s="50">
        <f t="shared" si="1"/>
        <v>102</v>
      </c>
      <c r="N6" s="51">
        <f t="shared" si="1"/>
        <v>105</v>
      </c>
    </row>
    <row r="7" spans="2:14" x14ac:dyDescent="0.25">
      <c r="B7" s="2" t="s">
        <v>7</v>
      </c>
      <c r="C7" s="7">
        <f>C6/117</f>
        <v>0.34188034188034189</v>
      </c>
      <c r="D7" s="6">
        <f t="shared" ref="D7:N7" si="2">D6/117</f>
        <v>0.38461538461538464</v>
      </c>
      <c r="E7" s="6">
        <f t="shared" si="2"/>
        <v>0.42735042735042733</v>
      </c>
      <c r="F7" s="6">
        <f t="shared" si="2"/>
        <v>0.47863247863247865</v>
      </c>
      <c r="G7" s="6">
        <f t="shared" si="2"/>
        <v>0.5641025641025641</v>
      </c>
      <c r="H7" s="6">
        <f t="shared" si="2"/>
        <v>0.64102564102564108</v>
      </c>
      <c r="I7" s="6">
        <f t="shared" si="2"/>
        <v>0.70940170940170943</v>
      </c>
      <c r="J7" s="6">
        <f t="shared" si="2"/>
        <v>0.76068376068376065</v>
      </c>
      <c r="K7" s="6">
        <f t="shared" si="2"/>
        <v>0.80341880341880345</v>
      </c>
      <c r="L7" s="6">
        <f t="shared" si="2"/>
        <v>0.83760683760683763</v>
      </c>
      <c r="M7" s="6">
        <f t="shared" si="2"/>
        <v>0.87179487179487181</v>
      </c>
      <c r="N7" s="8">
        <f t="shared" si="2"/>
        <v>0.89743589743589747</v>
      </c>
    </row>
    <row r="8" spans="2:14" x14ac:dyDescent="0.25">
      <c r="B8" s="9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2"/>
    </row>
    <row r="9" spans="2:14" x14ac:dyDescent="0.25">
      <c r="C9" s="28"/>
    </row>
    <row r="10" spans="2:14" x14ac:dyDescent="0.25">
      <c r="B10" s="20" t="s">
        <v>3</v>
      </c>
      <c r="C10" s="29">
        <v>46023</v>
      </c>
      <c r="D10" s="21">
        <v>46054</v>
      </c>
      <c r="E10" s="21">
        <v>46082</v>
      </c>
      <c r="F10" s="21">
        <v>46113</v>
      </c>
      <c r="G10" s="21">
        <v>46143</v>
      </c>
      <c r="H10" s="21">
        <v>46174</v>
      </c>
      <c r="I10" s="21">
        <v>46204</v>
      </c>
      <c r="J10" s="21">
        <v>46235</v>
      </c>
      <c r="K10" s="21">
        <v>46266</v>
      </c>
      <c r="L10" s="21">
        <v>46296</v>
      </c>
      <c r="M10" s="21">
        <v>46327</v>
      </c>
      <c r="N10" s="22">
        <v>46357</v>
      </c>
    </row>
    <row r="11" spans="2:14" x14ac:dyDescent="0.25">
      <c r="B11" s="13" t="s">
        <v>4</v>
      </c>
      <c r="C11" s="30">
        <v>32</v>
      </c>
      <c r="D11" s="15">
        <f>C11+C14</f>
        <v>37</v>
      </c>
      <c r="E11" s="15">
        <f t="shared" ref="E11:N11" si="3">D11+D14</f>
        <v>42</v>
      </c>
      <c r="F11" s="15">
        <f t="shared" si="3"/>
        <v>47</v>
      </c>
      <c r="G11" s="15">
        <f t="shared" si="3"/>
        <v>53</v>
      </c>
      <c r="H11" s="15">
        <f t="shared" si="3"/>
        <v>63</v>
      </c>
      <c r="I11" s="15">
        <f t="shared" si="3"/>
        <v>72</v>
      </c>
      <c r="J11" s="15">
        <f t="shared" si="3"/>
        <v>80</v>
      </c>
      <c r="K11" s="15">
        <f t="shared" si="3"/>
        <v>86</v>
      </c>
      <c r="L11" s="15">
        <f t="shared" si="3"/>
        <v>91</v>
      </c>
      <c r="M11" s="15">
        <f t="shared" si="3"/>
        <v>95</v>
      </c>
      <c r="N11" s="16">
        <f t="shared" si="3"/>
        <v>99</v>
      </c>
    </row>
    <row r="12" spans="2:14" x14ac:dyDescent="0.25">
      <c r="B12" s="2" t="s">
        <v>5</v>
      </c>
      <c r="C12" s="4">
        <f>C11+C14</f>
        <v>37</v>
      </c>
      <c r="D12" s="3">
        <f t="shared" ref="D12:N12" si="4">D11+D14</f>
        <v>42</v>
      </c>
      <c r="E12" s="3">
        <f t="shared" si="4"/>
        <v>47</v>
      </c>
      <c r="F12" s="3">
        <f t="shared" si="4"/>
        <v>53</v>
      </c>
      <c r="G12" s="3">
        <f t="shared" si="4"/>
        <v>63</v>
      </c>
      <c r="H12" s="3">
        <f t="shared" si="4"/>
        <v>72</v>
      </c>
      <c r="I12" s="3">
        <f t="shared" si="4"/>
        <v>80</v>
      </c>
      <c r="J12" s="3">
        <f t="shared" si="4"/>
        <v>86</v>
      </c>
      <c r="K12" s="3">
        <f t="shared" si="4"/>
        <v>91</v>
      </c>
      <c r="L12" s="3">
        <f t="shared" si="4"/>
        <v>95</v>
      </c>
      <c r="M12" s="3">
        <f t="shared" si="4"/>
        <v>99</v>
      </c>
      <c r="N12" s="5">
        <f t="shared" si="4"/>
        <v>102</v>
      </c>
    </row>
    <row r="13" spans="2:14" x14ac:dyDescent="0.25">
      <c r="B13" s="2" t="s">
        <v>7</v>
      </c>
      <c r="C13" s="32">
        <f>C12/117</f>
        <v>0.31623931623931623</v>
      </c>
      <c r="D13" s="33">
        <f t="shared" ref="D13:N13" si="5">D12/117</f>
        <v>0.35897435897435898</v>
      </c>
      <c r="E13" s="33">
        <f t="shared" si="5"/>
        <v>0.40170940170940173</v>
      </c>
      <c r="F13" s="33">
        <f t="shared" si="5"/>
        <v>0.45299145299145299</v>
      </c>
      <c r="G13" s="33">
        <f t="shared" si="5"/>
        <v>0.53846153846153844</v>
      </c>
      <c r="H13" s="33">
        <f t="shared" si="5"/>
        <v>0.61538461538461542</v>
      </c>
      <c r="I13" s="33">
        <f t="shared" si="5"/>
        <v>0.68376068376068377</v>
      </c>
      <c r="J13" s="33">
        <f t="shared" si="5"/>
        <v>0.7350427350427351</v>
      </c>
      <c r="K13" s="33">
        <f t="shared" si="5"/>
        <v>0.77777777777777779</v>
      </c>
      <c r="L13" s="33">
        <f t="shared" si="5"/>
        <v>0.81196581196581197</v>
      </c>
      <c r="M13" s="33">
        <f t="shared" si="5"/>
        <v>0.84615384615384615</v>
      </c>
      <c r="N13" s="34">
        <f t="shared" si="5"/>
        <v>0.87179487179487181</v>
      </c>
    </row>
    <row r="14" spans="2:14" ht="15.75" thickBot="1" x14ac:dyDescent="0.3">
      <c r="B14" s="1" t="s">
        <v>6</v>
      </c>
      <c r="C14" s="31">
        <v>5</v>
      </c>
      <c r="D14" s="18">
        <v>5</v>
      </c>
      <c r="E14" s="18">
        <v>5</v>
      </c>
      <c r="F14" s="18">
        <v>6</v>
      </c>
      <c r="G14" s="18">
        <v>10</v>
      </c>
      <c r="H14" s="18">
        <v>9</v>
      </c>
      <c r="I14" s="18">
        <v>8</v>
      </c>
      <c r="J14" s="18">
        <v>6</v>
      </c>
      <c r="K14" s="18">
        <v>5</v>
      </c>
      <c r="L14" s="18">
        <v>4</v>
      </c>
      <c r="M14" s="18">
        <v>4</v>
      </c>
      <c r="N14" s="19">
        <v>3</v>
      </c>
    </row>
    <row r="15" spans="2:14" ht="15.75" thickBot="1" x14ac:dyDescent="0.3"/>
    <row r="16" spans="2:14" ht="15.75" thickBot="1" x14ac:dyDescent="0.3">
      <c r="B16" s="36" t="s">
        <v>14</v>
      </c>
      <c r="C16" s="37">
        <v>46023</v>
      </c>
      <c r="D16" s="38">
        <v>46054</v>
      </c>
      <c r="E16" s="38">
        <v>46082</v>
      </c>
      <c r="F16" s="38">
        <v>46113</v>
      </c>
      <c r="G16" s="38">
        <v>46143</v>
      </c>
      <c r="H16" s="38">
        <v>46174</v>
      </c>
      <c r="I16" s="38">
        <v>46204</v>
      </c>
      <c r="J16" s="38">
        <v>46235</v>
      </c>
      <c r="K16" s="38">
        <v>46266</v>
      </c>
      <c r="L16" s="38">
        <v>46296</v>
      </c>
      <c r="M16" s="38">
        <v>46327</v>
      </c>
      <c r="N16" s="39">
        <v>46357</v>
      </c>
    </row>
    <row r="17" spans="2:14" x14ac:dyDescent="0.25">
      <c r="B17" s="42" t="s">
        <v>15</v>
      </c>
      <c r="C17" s="26">
        <v>39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8"/>
    </row>
    <row r="18" spans="2:14" s="56" customFormat="1" x14ac:dyDescent="0.25">
      <c r="B18" s="52" t="s">
        <v>16</v>
      </c>
      <c r="C18" s="53">
        <f>C19-C17</f>
        <v>7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</row>
    <row r="19" spans="2:14" x14ac:dyDescent="0.25">
      <c r="B19" s="42" t="s">
        <v>17</v>
      </c>
      <c r="C19" s="28">
        <v>46</v>
      </c>
      <c r="D19">
        <f>C19+D22</f>
        <v>45</v>
      </c>
      <c r="E19">
        <f t="shared" ref="E19:N19" si="6">D19</f>
        <v>45</v>
      </c>
      <c r="F19">
        <f t="shared" si="6"/>
        <v>45</v>
      </c>
      <c r="G19">
        <f t="shared" si="6"/>
        <v>45</v>
      </c>
      <c r="H19">
        <f t="shared" si="6"/>
        <v>45</v>
      </c>
      <c r="I19">
        <f t="shared" si="6"/>
        <v>45</v>
      </c>
      <c r="J19">
        <f t="shared" si="6"/>
        <v>45</v>
      </c>
      <c r="K19">
        <f t="shared" si="6"/>
        <v>45</v>
      </c>
      <c r="L19">
        <f t="shared" si="6"/>
        <v>45</v>
      </c>
      <c r="M19">
        <f t="shared" si="6"/>
        <v>45</v>
      </c>
      <c r="N19" s="43">
        <f t="shared" si="6"/>
        <v>45</v>
      </c>
    </row>
    <row r="20" spans="2:14" x14ac:dyDescent="0.25">
      <c r="B20" s="40" t="s">
        <v>0</v>
      </c>
      <c r="C20" s="27">
        <f>C19/117</f>
        <v>0.39316239316239315</v>
      </c>
      <c r="D20" s="14">
        <f t="shared" ref="D20:N20" si="7">D19/117</f>
        <v>0.38461538461538464</v>
      </c>
      <c r="E20" s="14">
        <f t="shared" si="7"/>
        <v>0.38461538461538464</v>
      </c>
      <c r="F20" s="14">
        <f t="shared" si="7"/>
        <v>0.38461538461538464</v>
      </c>
      <c r="G20" s="14">
        <f t="shared" si="7"/>
        <v>0.38461538461538464</v>
      </c>
      <c r="H20" s="14">
        <f t="shared" si="7"/>
        <v>0.38461538461538464</v>
      </c>
      <c r="I20" s="14">
        <f t="shared" si="7"/>
        <v>0.38461538461538464</v>
      </c>
      <c r="J20" s="14">
        <f t="shared" si="7"/>
        <v>0.38461538461538464</v>
      </c>
      <c r="K20" s="14">
        <f t="shared" si="7"/>
        <v>0.38461538461538464</v>
      </c>
      <c r="L20" s="14">
        <f t="shared" si="7"/>
        <v>0.38461538461538464</v>
      </c>
      <c r="M20" s="14">
        <f t="shared" si="7"/>
        <v>0.38461538461538464</v>
      </c>
      <c r="N20" s="41">
        <f t="shared" si="7"/>
        <v>0.38461538461538464</v>
      </c>
    </row>
    <row r="21" spans="2:14" x14ac:dyDescent="0.25">
      <c r="B21" s="42" t="s">
        <v>1</v>
      </c>
      <c r="C21" s="28"/>
      <c r="D21">
        <f t="shared" ref="D21:N21" si="8">D19-C19</f>
        <v>-1</v>
      </c>
      <c r="E21">
        <f t="shared" si="8"/>
        <v>0</v>
      </c>
      <c r="F21">
        <f t="shared" si="8"/>
        <v>0</v>
      </c>
      <c r="G21">
        <f t="shared" si="8"/>
        <v>0</v>
      </c>
      <c r="H21">
        <f t="shared" si="8"/>
        <v>0</v>
      </c>
      <c r="I21">
        <f t="shared" si="8"/>
        <v>0</v>
      </c>
      <c r="J21">
        <f t="shared" si="8"/>
        <v>0</v>
      </c>
      <c r="K21">
        <f t="shared" si="8"/>
        <v>0</v>
      </c>
      <c r="L21">
        <f t="shared" si="8"/>
        <v>0</v>
      </c>
      <c r="M21">
        <f t="shared" si="8"/>
        <v>0</v>
      </c>
      <c r="N21" s="43">
        <f t="shared" si="8"/>
        <v>0</v>
      </c>
    </row>
    <row r="22" spans="2:14" ht="15.75" thickBot="1" x14ac:dyDescent="0.3">
      <c r="B22" s="44" t="s">
        <v>2</v>
      </c>
      <c r="C22" s="45"/>
      <c r="D22" s="46">
        <v>-1</v>
      </c>
      <c r="E22" s="46"/>
      <c r="F22" s="46"/>
      <c r="G22" s="46"/>
      <c r="H22" s="46"/>
      <c r="I22" s="46"/>
      <c r="J22" s="46"/>
      <c r="K22" s="46"/>
      <c r="L22" s="46"/>
      <c r="M22" s="46"/>
      <c r="N22" s="47"/>
    </row>
    <row r="23" spans="2:14" x14ac:dyDescent="0.25">
      <c r="C23" s="1192">
        <v>46023</v>
      </c>
      <c r="D23" s="1193"/>
    </row>
    <row r="24" spans="2:14" x14ac:dyDescent="0.25">
      <c r="B24" s="3"/>
      <c r="C24" t="s">
        <v>12</v>
      </c>
      <c r="D24" t="s">
        <v>13</v>
      </c>
    </row>
    <row r="25" spans="2:14" x14ac:dyDescent="0.25">
      <c r="B25" s="35"/>
    </row>
  </sheetData>
  <mergeCells count="1">
    <mergeCell ref="C23:D2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D95D-5632-4C0F-AF79-048B0FEB541F}">
  <sheetPr>
    <tabColor theme="7" tint="0.39997558519241921"/>
    <pageSetUpPr fitToPage="1"/>
  </sheetPr>
  <dimension ref="A1:AK26"/>
  <sheetViews>
    <sheetView showGridLines="0" workbookViewId="0">
      <selection activeCell="H11" sqref="H11"/>
    </sheetView>
  </sheetViews>
  <sheetFormatPr defaultColWidth="9.140625" defaultRowHeight="15" outlineLevelCol="1" x14ac:dyDescent="0.25"/>
  <cols>
    <col min="1" max="1" width="12.85546875" style="64" customWidth="1"/>
    <col min="2" max="2" width="10.42578125" style="64" hidden="1" customWidth="1" outlineLevel="1"/>
    <col min="3" max="3" width="7.28515625" style="64" customWidth="1" collapsed="1"/>
    <col min="4" max="4" width="9.140625" style="65"/>
    <col min="5" max="5" width="6.140625" style="64" bestFit="1" customWidth="1"/>
    <col min="6" max="6" width="7.85546875" style="64" customWidth="1" collapsed="1"/>
    <col min="7" max="7" width="10.7109375" style="64" customWidth="1" outlineLevel="1"/>
    <col min="8" max="8" width="9.5703125" style="64" customWidth="1" outlineLevel="1"/>
    <col min="9" max="9" width="13.28515625" style="64" customWidth="1" outlineLevel="1"/>
    <col min="10" max="10" width="11.28515625" style="64" customWidth="1" outlineLevel="1"/>
    <col min="11" max="11" width="10.28515625" style="64" customWidth="1" outlineLevel="1"/>
    <col min="12" max="12" width="12.42578125" style="64" customWidth="1" outlineLevel="1"/>
    <col min="13" max="13" width="10.7109375" style="64" customWidth="1" outlineLevel="1"/>
    <col min="14" max="14" width="10.85546875" style="64" customWidth="1" outlineLevel="1"/>
    <col min="15" max="15" width="12.42578125" style="64" customWidth="1" outlineLevel="1"/>
    <col min="16" max="16" width="12.42578125" style="64" customWidth="1"/>
    <col min="17" max="17" width="10.5703125" style="64" customWidth="1"/>
    <col min="18" max="18" width="12.42578125" style="64" customWidth="1"/>
    <col min="19" max="19" width="12.42578125" style="64" hidden="1" customWidth="1" outlineLevel="1"/>
    <col min="20" max="20" width="10.85546875" style="64" hidden="1" customWidth="1" outlineLevel="1"/>
    <col min="21" max="21" width="16.28515625" style="64" hidden="1" customWidth="1" outlineLevel="1"/>
    <col min="22" max="22" width="12.85546875" style="64" customWidth="1" collapsed="1"/>
    <col min="23" max="23" width="10.85546875" style="64" customWidth="1"/>
    <col min="24" max="24" width="15.42578125" style="64" customWidth="1"/>
    <col min="25" max="25" width="14.5703125" style="64" customWidth="1"/>
    <col min="26" max="28" width="12.42578125" style="64" customWidth="1"/>
    <col min="29" max="29" width="11.5703125" style="64" customWidth="1" collapsed="1"/>
    <col min="30" max="30" width="10" style="64" customWidth="1"/>
    <col min="31" max="31" width="12.28515625" style="64" customWidth="1"/>
    <col min="32" max="32" width="0.85546875" style="64" customWidth="1"/>
    <col min="33" max="33" width="16.7109375" style="64" customWidth="1"/>
    <col min="34" max="34" width="1.140625" style="64" customWidth="1"/>
    <col min="35" max="35" width="16.7109375" style="64" customWidth="1"/>
    <col min="36" max="36" width="1.28515625" style="64" customWidth="1"/>
    <col min="37" max="37" width="13.5703125" style="64" customWidth="1"/>
    <col min="38" max="16384" width="9.140625" style="64"/>
  </cols>
  <sheetData>
    <row r="1" spans="1:37" ht="29.25" customHeight="1" x14ac:dyDescent="0.25"/>
    <row r="2" spans="1:37" ht="51" customHeight="1" x14ac:dyDescent="0.25">
      <c r="G2" s="1194" t="s">
        <v>25</v>
      </c>
      <c r="H2" s="1195"/>
      <c r="I2" s="1196"/>
      <c r="J2" s="1197" t="s">
        <v>26</v>
      </c>
      <c r="K2" s="1197"/>
      <c r="L2" s="1198"/>
      <c r="M2" s="1199" t="s">
        <v>27</v>
      </c>
      <c r="N2" s="1200"/>
      <c r="O2" s="1200"/>
      <c r="P2" s="1201" t="s">
        <v>28</v>
      </c>
      <c r="Q2" s="1202"/>
      <c r="R2" s="1203"/>
      <c r="S2" s="1194" t="s">
        <v>29</v>
      </c>
      <c r="T2" s="1195"/>
      <c r="U2" s="1196"/>
      <c r="V2" s="1209" t="s">
        <v>30</v>
      </c>
      <c r="W2" s="1210"/>
      <c r="X2" s="1211"/>
      <c r="Y2" s="69"/>
      <c r="Z2" s="1204" t="s">
        <v>31</v>
      </c>
      <c r="AA2" s="1205"/>
      <c r="AB2" s="1205"/>
      <c r="AC2" s="1206" t="s">
        <v>32</v>
      </c>
      <c r="AD2" s="1206"/>
      <c r="AE2" s="1206"/>
    </row>
    <row r="3" spans="1:37" ht="6" customHeight="1" x14ac:dyDescent="0.25">
      <c r="J3" s="70"/>
      <c r="K3" s="70"/>
      <c r="L3" s="70"/>
      <c r="M3" s="70"/>
      <c r="N3" s="70"/>
      <c r="O3" s="70"/>
      <c r="P3" s="70"/>
      <c r="Q3" s="70"/>
      <c r="R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spans="1:37" s="87" customFormat="1" ht="68.25" customHeight="1" x14ac:dyDescent="0.25">
      <c r="A4" s="71" t="s">
        <v>33</v>
      </c>
      <c r="B4" s="71" t="s">
        <v>34</v>
      </c>
      <c r="C4" s="72" t="s">
        <v>35</v>
      </c>
      <c r="D4" s="72" t="s">
        <v>36</v>
      </c>
      <c r="E4" s="72" t="s">
        <v>37</v>
      </c>
      <c r="F4" s="72" t="s">
        <v>38</v>
      </c>
      <c r="G4" s="73" t="s">
        <v>39</v>
      </c>
      <c r="H4" s="74" t="s">
        <v>40</v>
      </c>
      <c r="I4" s="75" t="s">
        <v>41</v>
      </c>
      <c r="J4" s="76" t="s">
        <v>42</v>
      </c>
      <c r="K4" s="77" t="s">
        <v>43</v>
      </c>
      <c r="L4" s="78" t="s">
        <v>44</v>
      </c>
      <c r="M4" s="79" t="s">
        <v>45</v>
      </c>
      <c r="N4" s="79" t="s">
        <v>46</v>
      </c>
      <c r="O4" s="79" t="s">
        <v>47</v>
      </c>
      <c r="P4" s="66" t="s">
        <v>28</v>
      </c>
      <c r="Q4" s="67" t="s">
        <v>48</v>
      </c>
      <c r="R4" s="67" t="s">
        <v>49</v>
      </c>
      <c r="S4" s="73" t="s">
        <v>50</v>
      </c>
      <c r="T4" s="74" t="s">
        <v>51</v>
      </c>
      <c r="U4" s="75" t="s">
        <v>52</v>
      </c>
      <c r="V4" s="80" t="s">
        <v>53</v>
      </c>
      <c r="W4" s="68" t="s">
        <v>54</v>
      </c>
      <c r="X4" s="81" t="s">
        <v>55</v>
      </c>
      <c r="Y4" s="82" t="s">
        <v>56</v>
      </c>
      <c r="Z4" s="83" t="s">
        <v>28</v>
      </c>
      <c r="AA4" s="84" t="s">
        <v>48</v>
      </c>
      <c r="AB4" s="84" t="s">
        <v>49</v>
      </c>
      <c r="AC4" s="85" t="s">
        <v>57</v>
      </c>
      <c r="AD4" s="86" t="s">
        <v>58</v>
      </c>
      <c r="AE4" s="86" t="s">
        <v>59</v>
      </c>
      <c r="AG4" s="82" t="s">
        <v>60</v>
      </c>
      <c r="AI4" s="82" t="s">
        <v>56</v>
      </c>
      <c r="AK4" s="82" t="s">
        <v>61</v>
      </c>
    </row>
    <row r="5" spans="1:37" x14ac:dyDescent="0.25">
      <c r="A5" s="88" t="s">
        <v>62</v>
      </c>
      <c r="B5" s="89" t="s">
        <v>63</v>
      </c>
      <c r="C5" s="90">
        <v>1425</v>
      </c>
      <c r="D5" s="91" t="s">
        <v>64</v>
      </c>
      <c r="E5" s="92">
        <v>31</v>
      </c>
      <c r="F5" s="92">
        <v>16</v>
      </c>
      <c r="G5" s="93">
        <v>2600</v>
      </c>
      <c r="H5" s="94">
        <f>G5/C5</f>
        <v>1.8245614035087718</v>
      </c>
      <c r="I5" s="95">
        <f>G5*E5*12</f>
        <v>967200</v>
      </c>
      <c r="J5" s="93">
        <v>2450</v>
      </c>
      <c r="K5" s="94">
        <f t="shared" ref="K5:K10" si="0">J5/C5</f>
        <v>1.7192982456140351</v>
      </c>
      <c r="L5" s="95">
        <f>J5*12*$E$5</f>
        <v>911400</v>
      </c>
      <c r="M5" s="96">
        <v>2450</v>
      </c>
      <c r="N5" s="97">
        <f>M5/$C$5</f>
        <v>1.7192982456140351</v>
      </c>
      <c r="O5" s="95">
        <f>M5*12*$E$5</f>
        <v>911400</v>
      </c>
      <c r="P5" s="95">
        <v>2450</v>
      </c>
      <c r="Q5" s="97">
        <f>P5/$C5</f>
        <v>1.7192982456140351</v>
      </c>
      <c r="R5" s="95">
        <f>P5*12*$E5</f>
        <v>911400</v>
      </c>
      <c r="S5" s="93">
        <v>2468</v>
      </c>
      <c r="T5" s="94">
        <f>S5/C5</f>
        <v>1.7319298245614034</v>
      </c>
      <c r="U5" s="95">
        <f>S5*E5*12</f>
        <v>918096</v>
      </c>
      <c r="V5" s="98">
        <v>2238</v>
      </c>
      <c r="W5" s="94">
        <f t="shared" ref="W5:W10" si="1">V5/$C5</f>
        <v>1.5705263157894738</v>
      </c>
      <c r="X5" s="95">
        <f t="shared" ref="X5:X10" si="2">V5*12*$E5</f>
        <v>832536</v>
      </c>
      <c r="Y5" s="99">
        <f>V5/P5-1</f>
        <v>-8.6530612244897998E-2</v>
      </c>
      <c r="Z5" s="95">
        <v>2450</v>
      </c>
      <c r="AA5" s="97">
        <f>Z5/$C5</f>
        <v>1.7192982456140351</v>
      </c>
      <c r="AB5" s="95">
        <f>Z5*12*$E5</f>
        <v>911400</v>
      </c>
      <c r="AC5" s="100">
        <v>2315</v>
      </c>
      <c r="AD5" s="97">
        <f>AC5/$C5</f>
        <v>1.6245614035087719</v>
      </c>
      <c r="AE5" s="95">
        <f>AC5*12*$E5</f>
        <v>861180</v>
      </c>
      <c r="AF5" s="101"/>
      <c r="AG5" s="102">
        <f>S5/P5-1</f>
        <v>7.3469387755102922E-3</v>
      </c>
      <c r="AH5" s="103"/>
      <c r="AI5" s="102">
        <f t="shared" ref="AI5:AI11" si="3">V5/P5-1</f>
        <v>-8.6530612244897998E-2</v>
      </c>
      <c r="AJ5" s="103"/>
      <c r="AK5" s="102">
        <f t="shared" ref="AK5:AK10" si="4">X5/U5-1</f>
        <v>-9.3192868719610966E-2</v>
      </c>
    </row>
    <row r="6" spans="1:37" s="119" customFormat="1" x14ac:dyDescent="0.25">
      <c r="A6" s="104" t="s">
        <v>65</v>
      </c>
      <c r="B6" s="105" t="s">
        <v>66</v>
      </c>
      <c r="C6" s="106">
        <v>1635</v>
      </c>
      <c r="D6" s="107" t="s">
        <v>64</v>
      </c>
      <c r="E6" s="108">
        <v>18</v>
      </c>
      <c r="F6" s="108">
        <v>3</v>
      </c>
      <c r="G6" s="109">
        <v>2900</v>
      </c>
      <c r="H6" s="110">
        <f t="shared" ref="H6:H10" si="5">G6/C6</f>
        <v>1.7737003058103975</v>
      </c>
      <c r="I6" s="111">
        <f t="shared" ref="I6:I10" si="6">G6*E6*12</f>
        <v>626400</v>
      </c>
      <c r="J6" s="109">
        <v>2650</v>
      </c>
      <c r="K6" s="112">
        <f t="shared" si="0"/>
        <v>1.620795107033639</v>
      </c>
      <c r="L6" s="109">
        <f>J6*12*E6</f>
        <v>572400</v>
      </c>
      <c r="M6" s="113">
        <v>2650</v>
      </c>
      <c r="N6" s="112">
        <f>M6/C6</f>
        <v>1.620795107033639</v>
      </c>
      <c r="O6" s="111">
        <f>M6*12*E6</f>
        <v>572400</v>
      </c>
      <c r="P6" s="111">
        <v>2650</v>
      </c>
      <c r="Q6" s="110">
        <f>P6/$C6</f>
        <v>1.620795107033639</v>
      </c>
      <c r="R6" s="111">
        <f t="shared" ref="R6:R10" si="7">P6*12*$E6</f>
        <v>572400</v>
      </c>
      <c r="S6" s="109">
        <v>2678</v>
      </c>
      <c r="T6" s="110">
        <f t="shared" ref="T6:T10" si="8">S6/C6</f>
        <v>1.6379204892966361</v>
      </c>
      <c r="U6" s="111">
        <f t="shared" ref="U6:U10" si="9">S6*E6*12</f>
        <v>578448</v>
      </c>
      <c r="V6" s="114">
        <v>2356</v>
      </c>
      <c r="W6" s="110">
        <f t="shared" si="1"/>
        <v>1.4409785932721713</v>
      </c>
      <c r="X6" s="111">
        <f t="shared" si="2"/>
        <v>508896</v>
      </c>
      <c r="Y6" s="115">
        <f>V6/P6-1</f>
        <v>-0.11094339622641514</v>
      </c>
      <c r="Z6" s="111">
        <v>2650</v>
      </c>
      <c r="AA6" s="110">
        <f>Z6/$C6</f>
        <v>1.620795107033639</v>
      </c>
      <c r="AB6" s="111">
        <f t="shared" ref="AB6:AB10" si="10">Z6*12*$E6</f>
        <v>572400</v>
      </c>
      <c r="AC6" s="116">
        <v>2344</v>
      </c>
      <c r="AD6" s="112">
        <f t="shared" ref="AD6:AD11" si="11">AC6/C6</f>
        <v>1.4336391437308869</v>
      </c>
      <c r="AE6" s="117">
        <f t="shared" ref="AE6:AE10" si="12">AC6*12*$E6</f>
        <v>506304</v>
      </c>
      <c r="AF6" s="64"/>
      <c r="AG6" s="118">
        <f t="shared" ref="AG6:AG11" si="13">S6/P6-1</f>
        <v>1.0566037735848965E-2</v>
      </c>
      <c r="AH6" s="103"/>
      <c r="AI6" s="118">
        <f t="shared" si="3"/>
        <v>-0.11094339622641514</v>
      </c>
      <c r="AJ6" s="103"/>
      <c r="AK6" s="118">
        <f t="shared" si="4"/>
        <v>-0.12023898431665425</v>
      </c>
    </row>
    <row r="7" spans="1:37" x14ac:dyDescent="0.25">
      <c r="A7" s="88" t="s">
        <v>22</v>
      </c>
      <c r="B7" s="89" t="s">
        <v>67</v>
      </c>
      <c r="C7" s="90">
        <v>1685</v>
      </c>
      <c r="D7" s="91" t="s">
        <v>68</v>
      </c>
      <c r="E7" s="92">
        <v>25</v>
      </c>
      <c r="F7" s="92">
        <v>8</v>
      </c>
      <c r="G7" s="93">
        <v>3200</v>
      </c>
      <c r="H7" s="94">
        <f t="shared" si="5"/>
        <v>1.8991097922848665</v>
      </c>
      <c r="I7" s="95">
        <f t="shared" si="6"/>
        <v>960000</v>
      </c>
      <c r="J7" s="93">
        <v>2950</v>
      </c>
      <c r="K7" s="97">
        <f t="shared" si="0"/>
        <v>1.7507418397626113</v>
      </c>
      <c r="L7" s="93">
        <f>J7*12*E7</f>
        <v>885000</v>
      </c>
      <c r="M7" s="120">
        <v>2750</v>
      </c>
      <c r="N7" s="97">
        <f>M7/C7</f>
        <v>1.6320474777448071</v>
      </c>
      <c r="O7" s="95">
        <f>M7*12*E7</f>
        <v>825000</v>
      </c>
      <c r="P7" s="95">
        <v>2750</v>
      </c>
      <c r="Q7" s="94">
        <f t="shared" ref="Q7:Q10" si="14">P7/$C7</f>
        <v>1.6320474777448071</v>
      </c>
      <c r="R7" s="95">
        <f t="shared" si="7"/>
        <v>825000</v>
      </c>
      <c r="S7" s="93">
        <v>2788</v>
      </c>
      <c r="T7" s="94">
        <f t="shared" si="8"/>
        <v>1.6545994065281899</v>
      </c>
      <c r="U7" s="95">
        <f t="shared" si="9"/>
        <v>836400</v>
      </c>
      <c r="V7" s="98">
        <v>2637</v>
      </c>
      <c r="W7" s="94">
        <f t="shared" si="1"/>
        <v>1.5649851632047478</v>
      </c>
      <c r="X7" s="95">
        <f t="shared" si="2"/>
        <v>791100</v>
      </c>
      <c r="Y7" s="99">
        <f t="shared" ref="Y7:Y11" si="15">V7/P7-1</f>
        <v>-4.1090909090909067E-2</v>
      </c>
      <c r="Z7" s="121">
        <v>2750</v>
      </c>
      <c r="AA7" s="94">
        <f t="shared" ref="AA7:AA10" si="16">Z7/$C7</f>
        <v>1.6320474777448071</v>
      </c>
      <c r="AB7" s="95">
        <f t="shared" si="10"/>
        <v>825000</v>
      </c>
      <c r="AC7" s="100">
        <v>2433</v>
      </c>
      <c r="AD7" s="97">
        <f t="shared" si="11"/>
        <v>1.4439169139465875</v>
      </c>
      <c r="AE7" s="122">
        <f t="shared" si="12"/>
        <v>729900</v>
      </c>
      <c r="AG7" s="102">
        <f t="shared" si="13"/>
        <v>1.381818181818173E-2</v>
      </c>
      <c r="AH7" s="103"/>
      <c r="AI7" s="102">
        <f t="shared" si="3"/>
        <v>-4.1090909090909067E-2</v>
      </c>
      <c r="AJ7" s="103"/>
      <c r="AK7" s="102">
        <f t="shared" si="4"/>
        <v>-5.4160688665710222E-2</v>
      </c>
    </row>
    <row r="8" spans="1:37" s="119" customFormat="1" x14ac:dyDescent="0.25">
      <c r="A8" s="104" t="s">
        <v>69</v>
      </c>
      <c r="B8" s="105" t="s">
        <v>70</v>
      </c>
      <c r="C8" s="106">
        <v>1852</v>
      </c>
      <c r="D8" s="107" t="s">
        <v>68</v>
      </c>
      <c r="E8" s="108">
        <v>21</v>
      </c>
      <c r="F8" s="108">
        <v>1</v>
      </c>
      <c r="G8" s="109">
        <v>3400</v>
      </c>
      <c r="H8" s="110">
        <f t="shared" si="5"/>
        <v>1.83585313174946</v>
      </c>
      <c r="I8" s="111">
        <f t="shared" si="6"/>
        <v>856800</v>
      </c>
      <c r="J8" s="109">
        <v>3150</v>
      </c>
      <c r="K8" s="112">
        <f t="shared" si="0"/>
        <v>1.7008639308855291</v>
      </c>
      <c r="L8" s="109">
        <f>J8*12*E8</f>
        <v>793800</v>
      </c>
      <c r="M8" s="116">
        <v>2950</v>
      </c>
      <c r="N8" s="112">
        <f>M8/C8</f>
        <v>1.5928725701943844</v>
      </c>
      <c r="O8" s="111">
        <f>M8*12*E8</f>
        <v>743400</v>
      </c>
      <c r="P8" s="111">
        <v>2950</v>
      </c>
      <c r="Q8" s="110">
        <f t="shared" si="14"/>
        <v>1.5928725701943844</v>
      </c>
      <c r="R8" s="111">
        <f t="shared" si="7"/>
        <v>743400</v>
      </c>
      <c r="S8" s="109">
        <v>2971</v>
      </c>
      <c r="T8" s="110">
        <f t="shared" si="8"/>
        <v>1.6042116630669547</v>
      </c>
      <c r="U8" s="111">
        <f t="shared" si="9"/>
        <v>748692</v>
      </c>
      <c r="V8" s="114">
        <v>2497</v>
      </c>
      <c r="W8" s="110">
        <f t="shared" si="1"/>
        <v>1.3482721382289418</v>
      </c>
      <c r="X8" s="111">
        <f t="shared" si="2"/>
        <v>629244</v>
      </c>
      <c r="Y8" s="115">
        <f t="shared" si="15"/>
        <v>-0.15355932203389833</v>
      </c>
      <c r="Z8" s="123">
        <v>2950</v>
      </c>
      <c r="AA8" s="110">
        <f t="shared" si="16"/>
        <v>1.5928725701943844</v>
      </c>
      <c r="AB8" s="111">
        <f t="shared" si="10"/>
        <v>743400</v>
      </c>
      <c r="AC8" s="116">
        <v>2610</v>
      </c>
      <c r="AD8" s="112">
        <f t="shared" si="11"/>
        <v>1.4092872570194384</v>
      </c>
      <c r="AE8" s="117">
        <f t="shared" si="12"/>
        <v>657720</v>
      </c>
      <c r="AF8" s="64"/>
      <c r="AG8" s="118">
        <f t="shared" si="13"/>
        <v>7.118644067796609E-3</v>
      </c>
      <c r="AH8" s="103"/>
      <c r="AI8" s="118">
        <f t="shared" si="3"/>
        <v>-0.15355932203389833</v>
      </c>
      <c r="AJ8" s="103"/>
      <c r="AK8" s="118">
        <f t="shared" si="4"/>
        <v>-0.15954224166947151</v>
      </c>
    </row>
    <row r="9" spans="1:37" x14ac:dyDescent="0.25">
      <c r="A9" s="88" t="s">
        <v>71</v>
      </c>
      <c r="B9" s="89" t="s">
        <v>72</v>
      </c>
      <c r="C9" s="90">
        <v>1909</v>
      </c>
      <c r="D9" s="91" t="s">
        <v>68</v>
      </c>
      <c r="E9" s="92">
        <v>16</v>
      </c>
      <c r="F9" s="92">
        <v>1</v>
      </c>
      <c r="G9" s="93">
        <v>3600</v>
      </c>
      <c r="H9" s="94">
        <f t="shared" si="5"/>
        <v>1.8858040859088527</v>
      </c>
      <c r="I9" s="95">
        <f t="shared" si="6"/>
        <v>691200</v>
      </c>
      <c r="J9" s="93">
        <v>3250</v>
      </c>
      <c r="K9" s="97">
        <f t="shared" si="0"/>
        <v>1.7024620220010476</v>
      </c>
      <c r="L9" s="93">
        <f>J9*12*E9</f>
        <v>624000</v>
      </c>
      <c r="M9" s="100">
        <v>3150</v>
      </c>
      <c r="N9" s="97">
        <f>M9/C9</f>
        <v>1.6500785751702463</v>
      </c>
      <c r="O9" s="95">
        <f>M9*12*E9</f>
        <v>604800</v>
      </c>
      <c r="P9" s="95">
        <v>3150</v>
      </c>
      <c r="Q9" s="94">
        <f t="shared" si="14"/>
        <v>1.6500785751702463</v>
      </c>
      <c r="R9" s="95">
        <f t="shared" si="7"/>
        <v>604800</v>
      </c>
      <c r="S9" s="93">
        <v>3150</v>
      </c>
      <c r="T9" s="94">
        <f t="shared" si="8"/>
        <v>1.6500785751702463</v>
      </c>
      <c r="U9" s="95">
        <f t="shared" si="9"/>
        <v>604800</v>
      </c>
      <c r="V9" s="98">
        <v>2815</v>
      </c>
      <c r="W9" s="94">
        <f t="shared" si="1"/>
        <v>1.4745940282870613</v>
      </c>
      <c r="X9" s="95">
        <f t="shared" si="2"/>
        <v>540480</v>
      </c>
      <c r="Y9" s="99">
        <f t="shared" si="15"/>
        <v>-0.1063492063492063</v>
      </c>
      <c r="Z9" s="121">
        <v>3150</v>
      </c>
      <c r="AA9" s="94">
        <f t="shared" si="16"/>
        <v>1.6500785751702463</v>
      </c>
      <c r="AB9" s="95">
        <f t="shared" si="10"/>
        <v>604800</v>
      </c>
      <c r="AC9" s="122">
        <v>2787</v>
      </c>
      <c r="AD9" s="97">
        <f t="shared" si="11"/>
        <v>1.459926663174437</v>
      </c>
      <c r="AE9" s="122">
        <f t="shared" si="12"/>
        <v>535104</v>
      </c>
      <c r="AG9" s="102">
        <f t="shared" si="13"/>
        <v>0</v>
      </c>
      <c r="AH9" s="103"/>
      <c r="AI9" s="102">
        <f t="shared" si="3"/>
        <v>-0.1063492063492063</v>
      </c>
      <c r="AJ9" s="103"/>
      <c r="AK9" s="102">
        <f t="shared" si="4"/>
        <v>-0.1063492063492063</v>
      </c>
    </row>
    <row r="10" spans="1:37" s="119" customFormat="1" ht="15.75" thickBot="1" x14ac:dyDescent="0.3">
      <c r="A10" s="124" t="s">
        <v>73</v>
      </c>
      <c r="B10" s="125" t="s">
        <v>74</v>
      </c>
      <c r="C10" s="126">
        <v>2431</v>
      </c>
      <c r="D10" s="127" t="s">
        <v>75</v>
      </c>
      <c r="E10" s="128">
        <v>6</v>
      </c>
      <c r="F10" s="128">
        <v>1</v>
      </c>
      <c r="G10" s="129">
        <v>4000</v>
      </c>
      <c r="H10" s="130">
        <f t="shared" si="5"/>
        <v>1.6454134101192925</v>
      </c>
      <c r="I10" s="111">
        <f t="shared" si="6"/>
        <v>288000</v>
      </c>
      <c r="J10" s="129">
        <v>3600</v>
      </c>
      <c r="K10" s="131">
        <f t="shared" si="0"/>
        <v>1.4808720691073631</v>
      </c>
      <c r="L10" s="132">
        <f>J10*12*E10</f>
        <v>259200</v>
      </c>
      <c r="M10" s="133">
        <v>3600</v>
      </c>
      <c r="N10" s="131">
        <f>M10/C10</f>
        <v>1.4808720691073631</v>
      </c>
      <c r="O10" s="111">
        <f>M10*12*E10</f>
        <v>259200</v>
      </c>
      <c r="P10" s="134">
        <v>3600</v>
      </c>
      <c r="Q10" s="135">
        <f t="shared" si="14"/>
        <v>1.4808720691073631</v>
      </c>
      <c r="R10" s="134">
        <f t="shared" si="7"/>
        <v>259200</v>
      </c>
      <c r="S10" s="129">
        <v>3600</v>
      </c>
      <c r="T10" s="130">
        <f t="shared" si="8"/>
        <v>1.4808720691073631</v>
      </c>
      <c r="U10" s="111">
        <f t="shared" si="9"/>
        <v>259200</v>
      </c>
      <c r="V10" s="136">
        <v>3216.62</v>
      </c>
      <c r="W10" s="135">
        <f t="shared" si="1"/>
        <v>1.3231674208144797</v>
      </c>
      <c r="X10" s="134">
        <f t="shared" si="2"/>
        <v>231596.64</v>
      </c>
      <c r="Y10" s="137">
        <f t="shared" si="15"/>
        <v>-0.10649444444444445</v>
      </c>
      <c r="Z10" s="134">
        <v>3600</v>
      </c>
      <c r="AA10" s="135">
        <f t="shared" si="16"/>
        <v>1.4808720691073631</v>
      </c>
      <c r="AB10" s="134">
        <f t="shared" si="10"/>
        <v>259200</v>
      </c>
      <c r="AC10" s="129">
        <v>3208</v>
      </c>
      <c r="AD10" s="131">
        <f t="shared" si="11"/>
        <v>1.3196215549156725</v>
      </c>
      <c r="AE10" s="132">
        <f t="shared" si="12"/>
        <v>230976</v>
      </c>
      <c r="AF10" s="64"/>
      <c r="AG10" s="138">
        <f t="shared" si="13"/>
        <v>0</v>
      </c>
      <c r="AH10" s="139"/>
      <c r="AI10" s="138">
        <f t="shared" si="3"/>
        <v>-0.10649444444444445</v>
      </c>
      <c r="AJ10" s="139"/>
      <c r="AK10" s="138">
        <f t="shared" si="4"/>
        <v>-0.10649444444444434</v>
      </c>
    </row>
    <row r="11" spans="1:37" ht="15.75" thickBot="1" x14ac:dyDescent="0.3">
      <c r="A11" s="88" t="s">
        <v>76</v>
      </c>
      <c r="B11" s="88"/>
      <c r="C11" s="90">
        <f>((C5*E5)+(C6*E6)+(C7*E7)+(C8*E8)+(C9*E9)+(C10*E10))/E11</f>
        <v>1707.2820512820513</v>
      </c>
      <c r="D11" s="92"/>
      <c r="E11" s="92">
        <f>SUM(E5:E10)</f>
        <v>117</v>
      </c>
      <c r="F11" s="92">
        <f>SUM(F5:F10)</f>
        <v>30</v>
      </c>
      <c r="G11" s="95">
        <f>SUMPRODUCT(G5:G10,$E$5:$E$10)/E11</f>
        <v>3126.4957264957266</v>
      </c>
      <c r="H11" s="94">
        <f>(I11/$C$11/12)/E11</f>
        <v>1.8312707757619449</v>
      </c>
      <c r="I11" s="140">
        <f>SUM(I5:I10)</f>
        <v>4389600</v>
      </c>
      <c r="J11" s="95">
        <f>SUMPRODUCT(J5:J10,$E$5:$E$10)/$E$11</f>
        <v>2881.6239316239316</v>
      </c>
      <c r="K11" s="94">
        <f>L11/$C$11/12</f>
        <v>197.47762225159195</v>
      </c>
      <c r="L11" s="140">
        <f>SUM(L5:L10)</f>
        <v>4045800</v>
      </c>
      <c r="M11" s="95">
        <f>SUMPRODUCT(M5:M10,$E$5:$E$10)/$E$11</f>
        <v>2789.3162393162393</v>
      </c>
      <c r="N11" s="94">
        <f>O11/$C$11/12</f>
        <v>191.15177820497419</v>
      </c>
      <c r="O11" s="140">
        <f>SUM(O5:O10)</f>
        <v>3916200</v>
      </c>
      <c r="P11" s="95">
        <f>SUMPRODUCT(P5:P10,$E$5:$E$10)/$E$11</f>
        <v>2789.3162393162393</v>
      </c>
      <c r="Q11" s="94">
        <f>(R11/$C$11/12)/E11</f>
        <v>1.6337758820937964</v>
      </c>
      <c r="R11" s="141">
        <f>SUM(R5:R10)</f>
        <v>3916200</v>
      </c>
      <c r="S11" s="95">
        <f>SUMPRODUCT(S5:S10,$E$5:$E$10)/$E$11</f>
        <v>2810.2820512820513</v>
      </c>
      <c r="T11" s="94">
        <f>SUMPRODUCT(T5:T10,$E$5:$E$10)/$E$11</f>
        <v>1.6539513937924948</v>
      </c>
      <c r="U11" s="141">
        <f>SUM(U5:U10)</f>
        <v>3945636</v>
      </c>
      <c r="V11" s="95">
        <f>SUMPRODUCT(V5:V10,$F$5:$F$10)/$F$11</f>
        <v>2416.6873333333333</v>
      </c>
      <c r="W11" s="94">
        <f>SUMPRODUCT(W5:W10,$F$5:$F$10)/$F$11</f>
        <v>1.5372423908472188</v>
      </c>
      <c r="X11" s="141">
        <f>SUM(X5:X10)</f>
        <v>3533852.64</v>
      </c>
      <c r="Y11" s="142">
        <f t="shared" si="15"/>
        <v>-0.13359148766661555</v>
      </c>
      <c r="Z11" s="95">
        <f>SUMPRODUCT(Z5:Z10,$E$5:$E$10)/$E$11</f>
        <v>2789.3162393162393</v>
      </c>
      <c r="AA11" s="143">
        <f>Z11/C11</f>
        <v>1.6337758820937962</v>
      </c>
      <c r="AB11" s="144">
        <f>SUM(AB5:AB10)</f>
        <v>3916200</v>
      </c>
      <c r="AC11" s="95">
        <f>SUMPRODUCT(AC5:AC10,$E$5:$E$10)/$E$11</f>
        <v>2507.965811965812</v>
      </c>
      <c r="AD11" s="143">
        <f t="shared" si="11"/>
        <v>1.4689815371060115</v>
      </c>
      <c r="AE11" s="145">
        <f>SUM(AE5:AE10)</f>
        <v>3521184</v>
      </c>
      <c r="AG11" s="102">
        <f t="shared" si="13"/>
        <v>7.5164700474950052E-3</v>
      </c>
      <c r="AH11" s="103"/>
      <c r="AI11" s="102">
        <f t="shared" si="3"/>
        <v>-0.13359148766661555</v>
      </c>
    </row>
    <row r="12" spans="1:37" ht="15.75" thickBot="1" x14ac:dyDescent="0.3">
      <c r="A12" s="88"/>
      <c r="B12" s="88"/>
      <c r="C12" s="90"/>
      <c r="D12" s="92"/>
      <c r="E12" s="92"/>
      <c r="F12" s="92"/>
      <c r="G12" s="95"/>
      <c r="H12" s="94"/>
      <c r="I12" s="95"/>
      <c r="J12" s="95"/>
      <c r="K12" s="94"/>
      <c r="L12" s="95"/>
      <c r="M12" s="95"/>
      <c r="N12" s="94"/>
      <c r="O12" s="95"/>
      <c r="P12" s="95"/>
      <c r="Q12" s="94"/>
      <c r="R12" s="95"/>
      <c r="S12" s="95"/>
      <c r="T12" s="94"/>
      <c r="U12" s="95"/>
      <c r="V12" s="95"/>
      <c r="W12" s="94"/>
      <c r="Y12" s="146"/>
      <c r="Z12" s="95"/>
      <c r="AA12" s="143"/>
      <c r="AB12" s="95"/>
      <c r="AC12" s="95"/>
      <c r="AD12" s="143"/>
      <c r="AE12" s="95"/>
    </row>
    <row r="13" spans="1:37" s="159" customFormat="1" ht="15.75" thickBot="1" x14ac:dyDescent="0.3">
      <c r="A13" s="147"/>
      <c r="B13" s="147"/>
      <c r="C13" s="148"/>
      <c r="D13" s="149"/>
      <c r="E13" s="148"/>
      <c r="F13" s="148"/>
      <c r="G13" s="148"/>
      <c r="H13" s="148"/>
      <c r="I13" s="148"/>
      <c r="J13" s="150"/>
      <c r="K13" s="151"/>
      <c r="L13" s="152"/>
      <c r="M13" s="150"/>
      <c r="N13" s="151" t="s">
        <v>77</v>
      </c>
      <c r="O13" s="153">
        <f>O11/L11-1</f>
        <v>-3.2033219635177246E-2</v>
      </c>
      <c r="P13" s="153"/>
      <c r="Q13" s="153"/>
      <c r="R13" s="154" t="s">
        <v>78</v>
      </c>
      <c r="S13" s="155" t="s">
        <v>79</v>
      </c>
      <c r="T13" s="156"/>
      <c r="U13" s="157">
        <v>3635309</v>
      </c>
      <c r="V13" s="1207"/>
      <c r="W13" s="1207"/>
      <c r="X13" s="158">
        <f>SUM(X5:X10)</f>
        <v>3533852.64</v>
      </c>
      <c r="Y13" s="153"/>
      <c r="Z13" s="153"/>
      <c r="AA13" s="153"/>
      <c r="AB13" s="153"/>
      <c r="AD13" s="151" t="s">
        <v>80</v>
      </c>
      <c r="AE13" s="153">
        <f>AE11/O11-1</f>
        <v>-0.10086716715183086</v>
      </c>
      <c r="AK13" s="160">
        <f>X13/U13-1</f>
        <v>-2.7908593189739817E-2</v>
      </c>
    </row>
    <row r="14" spans="1:37" s="159" customFormat="1" ht="13.5" x14ac:dyDescent="0.25">
      <c r="A14" s="161"/>
      <c r="B14" s="161"/>
      <c r="C14" s="161"/>
      <c r="D14" s="162"/>
      <c r="E14" s="161"/>
      <c r="F14" s="161"/>
      <c r="G14" s="161"/>
      <c r="H14" s="161"/>
      <c r="I14" s="161"/>
      <c r="J14" s="163"/>
      <c r="K14" s="151" t="s">
        <v>81</v>
      </c>
      <c r="L14" s="164">
        <f>$L$11/$I$11-1</f>
        <v>-7.8321487151448932E-2</v>
      </c>
      <c r="M14" s="163"/>
      <c r="N14" s="151" t="s">
        <v>82</v>
      </c>
      <c r="O14" s="165">
        <f>O11/I11-1</f>
        <v>-0.10784581738655008</v>
      </c>
      <c r="P14" s="165"/>
      <c r="Q14" s="165"/>
      <c r="R14" s="166"/>
      <c r="S14" s="161"/>
      <c r="T14" s="161"/>
      <c r="U14" s="161"/>
      <c r="V14" s="1208"/>
      <c r="W14" s="1208"/>
      <c r="X14" s="167"/>
      <c r="Y14" s="165"/>
      <c r="Z14" s="165"/>
      <c r="AA14" s="165"/>
      <c r="AB14" s="165"/>
      <c r="AD14" s="151" t="s">
        <v>82</v>
      </c>
      <c r="AE14" s="165">
        <f>AE11/I11-1</f>
        <v>-0.19783488244942593</v>
      </c>
    </row>
    <row r="15" spans="1:37" x14ac:dyDescent="0.25">
      <c r="A15" s="168"/>
      <c r="B15" s="168"/>
      <c r="C15" s="168"/>
      <c r="D15" s="169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207"/>
      <c r="W15" s="1207"/>
      <c r="X15" s="168"/>
      <c r="Y15" s="168"/>
      <c r="Z15" s="168"/>
      <c r="AA15" s="168"/>
      <c r="AB15" s="168"/>
    </row>
    <row r="16" spans="1:37" x14ac:dyDescent="0.25">
      <c r="G16" s="101"/>
      <c r="S16" s="101"/>
    </row>
    <row r="17" spans="1:19" x14ac:dyDescent="0.25">
      <c r="G17" s="101"/>
      <c r="S17" s="101"/>
    </row>
    <row r="18" spans="1:19" x14ac:dyDescent="0.25">
      <c r="G18" s="101"/>
      <c r="S18" s="101"/>
    </row>
    <row r="19" spans="1:19" x14ac:dyDescent="0.25">
      <c r="G19" s="101"/>
      <c r="S19" s="101"/>
    </row>
    <row r="20" spans="1:19" x14ac:dyDescent="0.25">
      <c r="G20" s="101"/>
      <c r="S20" s="101"/>
    </row>
    <row r="21" spans="1:19" x14ac:dyDescent="0.25">
      <c r="A21" s="64" t="s">
        <v>83</v>
      </c>
      <c r="G21" s="101"/>
      <c r="S21" s="101"/>
    </row>
    <row r="22" spans="1:19" x14ac:dyDescent="0.25">
      <c r="G22" s="101"/>
      <c r="S22" s="101"/>
    </row>
    <row r="26" spans="1:19" x14ac:dyDescent="0.25">
      <c r="J26" s="170"/>
    </row>
  </sheetData>
  <mergeCells count="11">
    <mergeCell ref="Z2:AB2"/>
    <mergeCell ref="AC2:AE2"/>
    <mergeCell ref="V13:W13"/>
    <mergeCell ref="V14:W14"/>
    <mergeCell ref="V15:W15"/>
    <mergeCell ref="V2:X2"/>
    <mergeCell ref="G2:I2"/>
    <mergeCell ref="J2:L2"/>
    <mergeCell ref="M2:O2"/>
    <mergeCell ref="P2:R2"/>
    <mergeCell ref="S2:U2"/>
  </mergeCells>
  <pageMargins left="0.2" right="0.2" top="0.5" bottom="0.75" header="0.3" footer="0.3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0E0B-3613-4938-B75C-C91C68E34E7F}">
  <sheetPr>
    <tabColor theme="6" tint="0.39997558519241921"/>
    <pageSetUpPr fitToPage="1"/>
  </sheetPr>
  <dimension ref="A1:V96"/>
  <sheetViews>
    <sheetView topLeftCell="B19" zoomScale="80" zoomScaleNormal="80" workbookViewId="0">
      <selection activeCell="E7" sqref="E7:F7"/>
    </sheetView>
  </sheetViews>
  <sheetFormatPr defaultRowHeight="15" outlineLevelRow="1" outlineLevelCol="1" x14ac:dyDescent="0.25"/>
  <cols>
    <col min="1" max="1" width="19.42578125" customWidth="1"/>
    <col min="2" max="12" width="11.7109375" customWidth="1"/>
    <col min="13" max="13" width="11.85546875" customWidth="1"/>
    <col min="14" max="14" width="11.85546875" hidden="1" customWidth="1" outlineLevel="1"/>
    <col min="15" max="15" width="8.42578125" customWidth="1" collapsed="1"/>
    <col min="19" max="19" width="11.5703125" bestFit="1" customWidth="1"/>
  </cols>
  <sheetData>
    <row r="1" spans="1:19" ht="15.75" x14ac:dyDescent="0.25">
      <c r="A1" s="1244" t="s">
        <v>186</v>
      </c>
      <c r="B1" s="1244"/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204"/>
    </row>
    <row r="2" spans="1:19" ht="15.75" customHeight="1" x14ac:dyDescent="0.25">
      <c r="A2" s="1249" t="s">
        <v>19</v>
      </c>
      <c r="B2" s="1249"/>
      <c r="C2" s="1249"/>
      <c r="D2" s="1249"/>
      <c r="E2" s="1249"/>
      <c r="F2" s="1249"/>
      <c r="G2" s="1249"/>
      <c r="H2" s="1249"/>
      <c r="I2" s="1249"/>
      <c r="J2" s="1249"/>
      <c r="K2" s="1249"/>
      <c r="L2" s="1249"/>
      <c r="M2" s="1249"/>
      <c r="N2" s="171"/>
    </row>
    <row r="3" spans="1:19" ht="15.75" x14ac:dyDescent="0.25">
      <c r="A3" s="204" t="s">
        <v>185</v>
      </c>
      <c r="B3" s="204">
        <v>117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S3">
        <v>117</v>
      </c>
    </row>
    <row r="4" spans="1:19" x14ac:dyDescent="0.25">
      <c r="A4" s="3"/>
      <c r="B4" s="1243">
        <v>49</v>
      </c>
      <c r="C4" s="1243"/>
      <c r="E4" s="1243">
        <v>41</v>
      </c>
      <c r="F4" s="1243"/>
      <c r="H4" s="1242">
        <f>B4-E4+C23</f>
        <v>7</v>
      </c>
      <c r="I4" s="1243"/>
      <c r="K4" s="1243">
        <f>B3-E4-H4</f>
        <v>69</v>
      </c>
      <c r="L4" s="1243"/>
    </row>
    <row r="5" spans="1:19" ht="18.75" customHeight="1" x14ac:dyDescent="0.25">
      <c r="A5" s="3"/>
      <c r="B5" s="1243"/>
      <c r="C5" s="1243"/>
      <c r="E5" s="1243"/>
      <c r="F5" s="1243"/>
      <c r="H5" s="1243"/>
      <c r="I5" s="1243"/>
      <c r="K5" s="1243"/>
      <c r="L5" s="1243"/>
    </row>
    <row r="6" spans="1:19" ht="20.25" customHeight="1" x14ac:dyDescent="0.25">
      <c r="A6" s="3"/>
      <c r="B6" s="1248" t="s">
        <v>184</v>
      </c>
      <c r="C6" s="1248"/>
      <c r="E6" s="1248" t="s">
        <v>187</v>
      </c>
      <c r="F6" s="1248"/>
      <c r="H6" s="1248" t="s">
        <v>188</v>
      </c>
      <c r="I6" s="1248"/>
      <c r="J6" s="62"/>
      <c r="K6" s="1248" t="s">
        <v>189</v>
      </c>
      <c r="L6" s="1248"/>
    </row>
    <row r="7" spans="1:19" x14ac:dyDescent="0.25">
      <c r="A7" s="3"/>
      <c r="B7" s="1241">
        <f>B4/B3</f>
        <v>0.41880341880341881</v>
      </c>
      <c r="C7" s="1241"/>
      <c r="E7" s="1241">
        <f>E4/B3</f>
        <v>0.3504273504273504</v>
      </c>
      <c r="F7" s="1241"/>
      <c r="H7" s="1241">
        <f>H4/B3</f>
        <v>5.9829059829059832E-2</v>
      </c>
      <c r="I7" s="1241"/>
      <c r="K7" s="1241">
        <f>K4/B3</f>
        <v>0.58974358974358976</v>
      </c>
      <c r="L7" s="1241"/>
    </row>
    <row r="8" spans="1:19" ht="15.75" thickBot="1" x14ac:dyDescent="0.3">
      <c r="A8" s="3"/>
      <c r="B8" s="62"/>
    </row>
    <row r="9" spans="1:19" s="177" customFormat="1" thickBot="1" x14ac:dyDescent="0.3">
      <c r="A9" s="1231" t="s">
        <v>131</v>
      </c>
      <c r="B9" s="1232"/>
      <c r="C9" s="1232"/>
      <c r="D9" s="1232"/>
      <c r="E9" s="1232"/>
      <c r="F9" s="1232"/>
      <c r="G9" s="1232"/>
      <c r="H9" s="1232"/>
      <c r="I9" s="1232"/>
      <c r="J9" s="1232"/>
      <c r="K9" s="1232"/>
      <c r="L9" s="1232"/>
      <c r="M9" s="1233"/>
      <c r="N9" s="343"/>
    </row>
    <row r="10" spans="1:19" s="177" customFormat="1" ht="14.25" x14ac:dyDescent="0.25">
      <c r="A10" s="304"/>
      <c r="B10" s="205">
        <v>46023</v>
      </c>
      <c r="C10" s="205">
        <v>46054</v>
      </c>
      <c r="D10" s="382">
        <v>46082</v>
      </c>
      <c r="E10" s="382">
        <v>46113</v>
      </c>
      <c r="F10" s="382">
        <v>46143</v>
      </c>
      <c r="G10" s="382">
        <v>46174</v>
      </c>
      <c r="H10" s="382">
        <v>46204</v>
      </c>
      <c r="I10" s="382">
        <v>46235</v>
      </c>
      <c r="J10" s="382">
        <v>46266</v>
      </c>
      <c r="K10" s="382">
        <v>46296</v>
      </c>
      <c r="L10" s="382">
        <v>46327</v>
      </c>
      <c r="M10" s="383">
        <v>46357</v>
      </c>
      <c r="N10" s="381" t="s">
        <v>316</v>
      </c>
      <c r="O10" s="209"/>
    </row>
    <row r="11" spans="1:19" s="177" customFormat="1" x14ac:dyDescent="0.25">
      <c r="A11" s="1219" t="s">
        <v>3</v>
      </c>
      <c r="B11" s="1220"/>
      <c r="C11" s="1220"/>
      <c r="D11" s="1220"/>
      <c r="E11" s="1220"/>
      <c r="F11" s="1220"/>
      <c r="G11" s="1220"/>
      <c r="H11" s="1220"/>
      <c r="I11" s="1220"/>
      <c r="J11" s="1220"/>
      <c r="K11" s="1220"/>
      <c r="L11" s="1220"/>
      <c r="M11" s="1221"/>
      <c r="N11" s="449"/>
      <c r="O11" s="450"/>
    </row>
    <row r="12" spans="1:19" s="356" customFormat="1" ht="14.25" x14ac:dyDescent="0.25">
      <c r="A12" s="363" t="s">
        <v>195</v>
      </c>
      <c r="B12" s="410">
        <v>33</v>
      </c>
      <c r="C12" s="385">
        <f>B13</f>
        <v>40</v>
      </c>
      <c r="D12" s="387">
        <f>C13</f>
        <v>47</v>
      </c>
      <c r="E12" s="387">
        <f t="shared" ref="E12:M12" si="0">D13</f>
        <v>52</v>
      </c>
      <c r="F12" s="387">
        <f t="shared" si="0"/>
        <v>58</v>
      </c>
      <c r="G12" s="387">
        <f t="shared" si="0"/>
        <v>68</v>
      </c>
      <c r="H12" s="387">
        <f t="shared" si="0"/>
        <v>77</v>
      </c>
      <c r="I12" s="387">
        <f t="shared" si="0"/>
        <v>85</v>
      </c>
      <c r="J12" s="387">
        <f t="shared" si="0"/>
        <v>91</v>
      </c>
      <c r="K12" s="387">
        <f t="shared" si="0"/>
        <v>96</v>
      </c>
      <c r="L12" s="387">
        <f t="shared" si="0"/>
        <v>100</v>
      </c>
      <c r="M12" s="388">
        <f t="shared" si="0"/>
        <v>104</v>
      </c>
      <c r="N12" s="389"/>
      <c r="O12" s="390"/>
    </row>
    <row r="13" spans="1:19" s="177" customFormat="1" ht="14.25" x14ac:dyDescent="0.25">
      <c r="A13" s="368" t="s">
        <v>202</v>
      </c>
      <c r="B13" s="411">
        <v>40</v>
      </c>
      <c r="C13" s="386">
        <v>47</v>
      </c>
      <c r="D13" s="391">
        <v>52</v>
      </c>
      <c r="E13" s="391">
        <v>58</v>
      </c>
      <c r="F13" s="391">
        <v>68</v>
      </c>
      <c r="G13" s="391">
        <v>77</v>
      </c>
      <c r="H13" s="391">
        <v>85</v>
      </c>
      <c r="I13" s="391">
        <v>91</v>
      </c>
      <c r="J13" s="391">
        <v>96</v>
      </c>
      <c r="K13" s="391">
        <v>100</v>
      </c>
      <c r="L13" s="391">
        <v>104</v>
      </c>
      <c r="M13" s="392">
        <v>107</v>
      </c>
      <c r="N13" s="393">
        <f>M13</f>
        <v>107</v>
      </c>
      <c r="O13" s="394"/>
    </row>
    <row r="14" spans="1:19" s="206" customFormat="1" ht="14.25" x14ac:dyDescent="0.25">
      <c r="A14" s="307" t="s">
        <v>236</v>
      </c>
      <c r="B14" s="412">
        <f>B13/117</f>
        <v>0.34188034188034189</v>
      </c>
      <c r="C14" s="384">
        <f t="shared" ref="C14:M14" si="1">C13/117</f>
        <v>0.40170940170940173</v>
      </c>
      <c r="D14" s="395">
        <f t="shared" si="1"/>
        <v>0.44444444444444442</v>
      </c>
      <c r="E14" s="395">
        <f t="shared" si="1"/>
        <v>0.49572649572649574</v>
      </c>
      <c r="F14" s="395">
        <f t="shared" si="1"/>
        <v>0.58119658119658124</v>
      </c>
      <c r="G14" s="395">
        <f t="shared" si="1"/>
        <v>0.65811965811965811</v>
      </c>
      <c r="H14" s="395">
        <f t="shared" si="1"/>
        <v>0.72649572649572647</v>
      </c>
      <c r="I14" s="395">
        <f t="shared" si="1"/>
        <v>0.77777777777777779</v>
      </c>
      <c r="J14" s="395">
        <f t="shared" si="1"/>
        <v>0.82051282051282048</v>
      </c>
      <c r="K14" s="395">
        <f t="shared" si="1"/>
        <v>0.85470085470085466</v>
      </c>
      <c r="L14" s="395">
        <f t="shared" si="1"/>
        <v>0.88888888888888884</v>
      </c>
      <c r="M14" s="396">
        <f t="shared" si="1"/>
        <v>0.9145299145299145</v>
      </c>
      <c r="N14" s="397">
        <f t="shared" ref="N14" si="2">N13/117</f>
        <v>0.9145299145299145</v>
      </c>
      <c r="O14" s="398"/>
    </row>
    <row r="15" spans="1:19" s="206" customFormat="1" ht="14.25" x14ac:dyDescent="0.25">
      <c r="A15" s="307"/>
      <c r="B15" s="436"/>
      <c r="C15" s="404"/>
      <c r="D15" s="402"/>
      <c r="E15" s="402"/>
      <c r="F15" s="402"/>
      <c r="G15" s="402"/>
      <c r="H15" s="402"/>
      <c r="I15" s="402"/>
      <c r="J15" s="402"/>
      <c r="K15" s="402"/>
      <c r="L15" s="402"/>
      <c r="M15" s="403"/>
      <c r="N15" s="405"/>
      <c r="O15" s="406"/>
    </row>
    <row r="16" spans="1:19" s="238" customFormat="1" ht="6" customHeight="1" x14ac:dyDescent="0.25">
      <c r="A16" s="305"/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306"/>
      <c r="N16" s="345"/>
    </row>
    <row r="17" spans="1:16" s="206" customFormat="1" x14ac:dyDescent="0.25">
      <c r="A17" s="1219" t="s">
        <v>201</v>
      </c>
      <c r="B17" s="1222"/>
      <c r="C17" s="1222"/>
      <c r="D17" s="1222"/>
      <c r="E17" s="1222"/>
      <c r="F17" s="1222"/>
      <c r="G17" s="1222"/>
      <c r="H17" s="1222"/>
      <c r="I17" s="1222"/>
      <c r="J17" s="1222"/>
      <c r="K17" s="1222"/>
      <c r="L17" s="1222"/>
      <c r="M17" s="1223"/>
      <c r="N17" s="344"/>
    </row>
    <row r="18" spans="1:16" s="241" customFormat="1" ht="14.25" x14ac:dyDescent="0.25">
      <c r="A18" s="363" t="s">
        <v>195</v>
      </c>
      <c r="B18" s="445">
        <v>33</v>
      </c>
      <c r="C18" s="445">
        <f>B19</f>
        <v>41</v>
      </c>
      <c r="D18" s="445">
        <f>C19</f>
        <v>47</v>
      </c>
      <c r="E18" s="445">
        <f t="shared" ref="E18:N18" si="3">D19</f>
        <v>53</v>
      </c>
      <c r="F18" s="445">
        <f t="shared" si="3"/>
        <v>56</v>
      </c>
      <c r="G18" s="445">
        <f t="shared" si="3"/>
        <v>57</v>
      </c>
      <c r="H18" s="445">
        <f t="shared" si="3"/>
        <v>57</v>
      </c>
      <c r="I18" s="445">
        <f t="shared" si="3"/>
        <v>57</v>
      </c>
      <c r="J18" s="445">
        <f t="shared" si="3"/>
        <v>57</v>
      </c>
      <c r="K18" s="445">
        <f t="shared" si="3"/>
        <v>57</v>
      </c>
      <c r="L18" s="445">
        <f t="shared" si="3"/>
        <v>57</v>
      </c>
      <c r="M18" s="446">
        <f t="shared" si="3"/>
        <v>57</v>
      </c>
      <c r="N18" s="447">
        <f t="shared" si="3"/>
        <v>57</v>
      </c>
      <c r="O18" s="448"/>
    </row>
    <row r="19" spans="1:16" s="177" customFormat="1" ht="14.25" x14ac:dyDescent="0.25">
      <c r="A19" s="362" t="s">
        <v>202</v>
      </c>
      <c r="B19" s="400">
        <v>41</v>
      </c>
      <c r="C19" s="401">
        <f>B19+C22+C23</f>
        <v>47</v>
      </c>
      <c r="D19" s="407">
        <f t="shared" ref="D19:M19" si="4">D18+SUM(D22:D23)</f>
        <v>53</v>
      </c>
      <c r="E19" s="407">
        <f t="shared" si="4"/>
        <v>56</v>
      </c>
      <c r="F19" s="407">
        <f t="shared" si="4"/>
        <v>57</v>
      </c>
      <c r="G19" s="407">
        <f t="shared" si="4"/>
        <v>57</v>
      </c>
      <c r="H19" s="407">
        <f t="shared" si="4"/>
        <v>57</v>
      </c>
      <c r="I19" s="407">
        <f t="shared" si="4"/>
        <v>57</v>
      </c>
      <c r="J19" s="407">
        <f t="shared" si="4"/>
        <v>57</v>
      </c>
      <c r="K19" s="407">
        <f t="shared" si="4"/>
        <v>57</v>
      </c>
      <c r="L19" s="407">
        <f t="shared" si="4"/>
        <v>57</v>
      </c>
      <c r="M19" s="408">
        <f t="shared" si="4"/>
        <v>57</v>
      </c>
      <c r="N19" s="409">
        <f>M19</f>
        <v>57</v>
      </c>
      <c r="O19" s="209"/>
    </row>
    <row r="20" spans="1:16" s="206" customFormat="1" ht="14.25" x14ac:dyDescent="0.25">
      <c r="A20" s="307" t="s">
        <v>236</v>
      </c>
      <c r="B20" s="414">
        <f>B18/117</f>
        <v>0.28205128205128205</v>
      </c>
      <c r="C20" s="414">
        <f>C19/$B$3</f>
        <v>0.40170940170940173</v>
      </c>
      <c r="D20" s="415">
        <f t="shared" ref="D20:M20" si="5">D19/$B$3</f>
        <v>0.45299145299145299</v>
      </c>
      <c r="E20" s="415">
        <f t="shared" si="5"/>
        <v>0.47863247863247865</v>
      </c>
      <c r="F20" s="415">
        <f t="shared" si="5"/>
        <v>0.48717948717948717</v>
      </c>
      <c r="G20" s="415">
        <f t="shared" si="5"/>
        <v>0.48717948717948717</v>
      </c>
      <c r="H20" s="415">
        <f t="shared" si="5"/>
        <v>0.48717948717948717</v>
      </c>
      <c r="I20" s="415">
        <f t="shared" si="5"/>
        <v>0.48717948717948717</v>
      </c>
      <c r="J20" s="415">
        <f t="shared" si="5"/>
        <v>0.48717948717948717</v>
      </c>
      <c r="K20" s="415">
        <f t="shared" si="5"/>
        <v>0.48717948717948717</v>
      </c>
      <c r="L20" s="415">
        <f t="shared" si="5"/>
        <v>0.48717948717948717</v>
      </c>
      <c r="M20" s="416">
        <f t="shared" si="5"/>
        <v>0.48717948717948717</v>
      </c>
      <c r="N20" s="417">
        <f t="shared" ref="N20" si="6">N19/$B$3</f>
        <v>0.48717948717948717</v>
      </c>
      <c r="O20" s="418"/>
    </row>
    <row r="21" spans="1:16" s="206" customFormat="1" ht="9" customHeight="1" x14ac:dyDescent="0.25">
      <c r="A21" s="361"/>
      <c r="B21" s="413"/>
      <c r="C21" s="421"/>
      <c r="D21" s="419"/>
      <c r="E21" s="419"/>
      <c r="F21" s="419"/>
      <c r="G21" s="419"/>
      <c r="H21" s="419"/>
      <c r="I21" s="419"/>
      <c r="J21" s="419"/>
      <c r="K21" s="419"/>
      <c r="L21" s="419"/>
      <c r="M21" s="420"/>
      <c r="N21" s="422"/>
      <c r="O21" s="423"/>
    </row>
    <row r="22" spans="1:16" s="179" customFormat="1" ht="14.25" x14ac:dyDescent="0.25">
      <c r="A22" s="358" t="s">
        <v>196</v>
      </c>
      <c r="B22" s="352">
        <f>B19-B18</f>
        <v>8</v>
      </c>
      <c r="C22" s="352">
        <f>'Lease Tracker'!M14</f>
        <v>7</v>
      </c>
      <c r="D22" s="352">
        <f>'Lease Tracker'!N14</f>
        <v>6</v>
      </c>
      <c r="E22" s="352">
        <f>'Lease Tracker'!O14</f>
        <v>3</v>
      </c>
      <c r="F22" s="352">
        <f>'Lease Tracker'!P14</f>
        <v>1</v>
      </c>
      <c r="G22" s="352">
        <f>'Lease Tracker'!Q14</f>
        <v>1</v>
      </c>
      <c r="H22" s="352">
        <f>'Lease Tracker'!R14</f>
        <v>0</v>
      </c>
      <c r="I22" s="352">
        <f>'Lease Tracker'!S14</f>
        <v>0</v>
      </c>
      <c r="J22" s="352">
        <f>'Lease Tracker'!T14</f>
        <v>0</v>
      </c>
      <c r="K22" s="352">
        <f>'Lease Tracker'!U14</f>
        <v>0</v>
      </c>
      <c r="L22" s="352">
        <f>'Lease Tracker'!V14</f>
        <v>0</v>
      </c>
      <c r="M22" s="359">
        <f>'Lease Tracker'!W14</f>
        <v>0</v>
      </c>
      <c r="N22" s="353">
        <f t="shared" ref="N22:N23" si="7">SUM(B22:M22)</f>
        <v>26</v>
      </c>
      <c r="P22" s="240"/>
    </row>
    <row r="23" spans="1:16" s="179" customFormat="1" ht="14.25" x14ac:dyDescent="0.25">
      <c r="A23" s="354" t="s">
        <v>197</v>
      </c>
      <c r="B23" s="439"/>
      <c r="C23" s="439">
        <f>'Lease Tracker'!M15</f>
        <v>-1</v>
      </c>
      <c r="D23" s="437">
        <f>'Lease Tracker'!N15</f>
        <v>0</v>
      </c>
      <c r="E23" s="437">
        <f>'Lease Tracker'!O15</f>
        <v>0</v>
      </c>
      <c r="F23" s="437">
        <f>'Lease Tracker'!P15</f>
        <v>0</v>
      </c>
      <c r="G23" s="437">
        <f>'Lease Tracker'!Q15</f>
        <v>-1</v>
      </c>
      <c r="H23" s="437">
        <f>'Lease Tracker'!R15</f>
        <v>0</v>
      </c>
      <c r="I23" s="437">
        <f>'Lease Tracker'!S15</f>
        <v>0</v>
      </c>
      <c r="J23" s="437">
        <f>'Lease Tracker'!T15</f>
        <v>0</v>
      </c>
      <c r="K23" s="437">
        <f>'Lease Tracker'!U15</f>
        <v>0</v>
      </c>
      <c r="L23" s="437">
        <f>'Lease Tracker'!V15</f>
        <v>0</v>
      </c>
      <c r="M23" s="438">
        <f>'Lease Tracker'!W15</f>
        <v>0</v>
      </c>
      <c r="N23" s="440">
        <f t="shared" si="7"/>
        <v>-2</v>
      </c>
      <c r="O23" s="441"/>
    </row>
    <row r="24" spans="1:16" s="179" customFormat="1" ht="14.25" x14ac:dyDescent="0.25">
      <c r="A24" s="360"/>
      <c r="B24" s="425"/>
      <c r="C24" s="425"/>
      <c r="D24" s="426"/>
      <c r="E24" s="426"/>
      <c r="F24" s="426"/>
      <c r="G24" s="426"/>
      <c r="H24" s="426"/>
      <c r="I24" s="426"/>
      <c r="J24" s="426"/>
      <c r="K24" s="426"/>
      <c r="L24" s="426"/>
      <c r="M24" s="426"/>
      <c r="N24" s="427"/>
      <c r="O24" s="428"/>
    </row>
    <row r="25" spans="1:16" s="340" customFormat="1" ht="15.75" customHeight="1" x14ac:dyDescent="0.25">
      <c r="A25" s="351" t="s">
        <v>322</v>
      </c>
      <c r="B25" s="424">
        <f>'Lease Tracker'!L13</f>
        <v>8</v>
      </c>
      <c r="C25" s="424">
        <f>'Lease Tracker'!M13</f>
        <v>5</v>
      </c>
      <c r="D25" s="424">
        <f>'Lease Tracker'!N13</f>
        <v>3</v>
      </c>
      <c r="E25" s="424">
        <f>'Lease Tracker'!O13</f>
        <v>3</v>
      </c>
      <c r="F25" s="424">
        <f>'Lease Tracker'!P13</f>
        <v>0</v>
      </c>
      <c r="G25" s="424">
        <f>'Lease Tracker'!Q13</f>
        <v>0</v>
      </c>
      <c r="H25" s="424">
        <f>'Lease Tracker'!R13</f>
        <v>0</v>
      </c>
      <c r="I25" s="424">
        <f>'Lease Tracker'!S13</f>
        <v>0</v>
      </c>
      <c r="J25" s="424">
        <f>'Lease Tracker'!T13</f>
        <v>0</v>
      </c>
      <c r="K25" s="424">
        <f>'Lease Tracker'!U13</f>
        <v>0</v>
      </c>
      <c r="L25" s="424">
        <f>'Lease Tracker'!V13</f>
        <v>0</v>
      </c>
      <c r="M25" s="424">
        <f>'Lease Tracker'!W13</f>
        <v>0</v>
      </c>
      <c r="N25" s="353">
        <f>SUM(B25:M25)</f>
        <v>19</v>
      </c>
    </row>
    <row r="26" spans="1:16" s="340" customFormat="1" ht="15.75" customHeight="1" x14ac:dyDescent="0.25">
      <c r="A26" s="364" t="s">
        <v>321</v>
      </c>
      <c r="B26" s="355">
        <v>47</v>
      </c>
      <c r="C26" s="355">
        <f>B26+C25</f>
        <v>52</v>
      </c>
      <c r="D26" s="429">
        <f t="shared" ref="D26:M26" si="8">C26+D25</f>
        <v>55</v>
      </c>
      <c r="E26" s="429">
        <f t="shared" si="8"/>
        <v>58</v>
      </c>
      <c r="F26" s="429">
        <f t="shared" si="8"/>
        <v>58</v>
      </c>
      <c r="G26" s="429">
        <f t="shared" si="8"/>
        <v>58</v>
      </c>
      <c r="H26" s="429">
        <f t="shared" si="8"/>
        <v>58</v>
      </c>
      <c r="I26" s="429">
        <f t="shared" si="8"/>
        <v>58</v>
      </c>
      <c r="J26" s="429">
        <f t="shared" si="8"/>
        <v>58</v>
      </c>
      <c r="K26" s="429">
        <f t="shared" si="8"/>
        <v>58</v>
      </c>
      <c r="L26" s="429">
        <f t="shared" si="8"/>
        <v>58</v>
      </c>
      <c r="M26" s="429">
        <f t="shared" si="8"/>
        <v>58</v>
      </c>
      <c r="N26" s="430">
        <f>M26</f>
        <v>58</v>
      </c>
      <c r="O26" s="431"/>
    </row>
    <row r="27" spans="1:16" s="206" customFormat="1" ht="9" customHeight="1" x14ac:dyDescent="0.25">
      <c r="A27" s="307"/>
      <c r="B27" s="207"/>
      <c r="C27" s="207"/>
      <c r="D27" s="432"/>
      <c r="E27" s="432"/>
      <c r="F27" s="432"/>
      <c r="G27" s="432"/>
      <c r="H27" s="432"/>
      <c r="I27" s="432"/>
      <c r="J27" s="432"/>
      <c r="K27" s="432"/>
      <c r="L27" s="432"/>
      <c r="M27" s="433"/>
      <c r="N27" s="434"/>
      <c r="O27" s="435"/>
    </row>
    <row r="28" spans="1:16" s="177" customFormat="1" ht="14.25" x14ac:dyDescent="0.25">
      <c r="A28" s="308" t="s">
        <v>120</v>
      </c>
      <c r="B28" s="187">
        <v>44</v>
      </c>
      <c r="C28" s="187">
        <v>52</v>
      </c>
      <c r="D28" s="187">
        <v>60</v>
      </c>
      <c r="E28" s="187">
        <v>68</v>
      </c>
      <c r="F28" s="187">
        <v>76</v>
      </c>
      <c r="G28" s="187">
        <v>84</v>
      </c>
      <c r="H28" s="187">
        <v>92</v>
      </c>
      <c r="I28" s="187">
        <v>100</v>
      </c>
      <c r="J28" s="187">
        <v>108</v>
      </c>
      <c r="K28" s="187">
        <v>116</v>
      </c>
      <c r="L28" s="187">
        <v>116</v>
      </c>
      <c r="M28" s="309">
        <v>116</v>
      </c>
      <c r="N28" s="346">
        <v>116</v>
      </c>
    </row>
    <row r="29" spans="1:16" s="206" customFormat="1" thickBot="1" x14ac:dyDescent="0.3">
      <c r="A29" s="310" t="s">
        <v>7</v>
      </c>
      <c r="B29" s="384">
        <f t="shared" ref="B29:N29" si="9">B28/117</f>
        <v>0.37606837606837606</v>
      </c>
      <c r="C29" s="384">
        <f t="shared" si="9"/>
        <v>0.44444444444444442</v>
      </c>
      <c r="D29" s="395">
        <f t="shared" si="9"/>
        <v>0.51282051282051277</v>
      </c>
      <c r="E29" s="395">
        <f t="shared" si="9"/>
        <v>0.58119658119658124</v>
      </c>
      <c r="F29" s="395">
        <f t="shared" si="9"/>
        <v>0.6495726495726496</v>
      </c>
      <c r="G29" s="395">
        <f t="shared" si="9"/>
        <v>0.71794871794871795</v>
      </c>
      <c r="H29" s="395">
        <f t="shared" si="9"/>
        <v>0.78632478632478631</v>
      </c>
      <c r="I29" s="395">
        <f t="shared" si="9"/>
        <v>0.85470085470085466</v>
      </c>
      <c r="J29" s="395">
        <f t="shared" si="9"/>
        <v>0.92307692307692313</v>
      </c>
      <c r="K29" s="395">
        <f t="shared" si="9"/>
        <v>0.99145299145299148</v>
      </c>
      <c r="L29" s="395">
        <f t="shared" si="9"/>
        <v>0.99145299145299148</v>
      </c>
      <c r="M29" s="396">
        <f t="shared" si="9"/>
        <v>0.99145299145299148</v>
      </c>
      <c r="N29" s="397">
        <f t="shared" si="9"/>
        <v>0.99145299145299148</v>
      </c>
      <c r="O29" s="398"/>
    </row>
    <row r="30" spans="1:16" s="177" customFormat="1" thickBot="1" x14ac:dyDescent="0.3">
      <c r="B30" s="442"/>
      <c r="C30" s="442"/>
      <c r="D30" s="443"/>
      <c r="E30" s="443"/>
      <c r="F30" s="443"/>
      <c r="G30" s="443"/>
      <c r="H30" s="443"/>
      <c r="I30" s="443"/>
      <c r="J30" s="443"/>
      <c r="K30" s="443"/>
      <c r="L30" s="443"/>
      <c r="M30" s="443"/>
      <c r="N30" s="443"/>
      <c r="O30" s="444"/>
      <c r="P30" s="179"/>
    </row>
    <row r="31" spans="1:16" s="177" customFormat="1" thickBot="1" x14ac:dyDescent="0.3">
      <c r="A31" s="1237" t="s">
        <v>122</v>
      </c>
      <c r="B31" s="1238"/>
      <c r="C31" s="1238"/>
      <c r="D31" s="1238"/>
      <c r="E31" s="1238"/>
      <c r="F31" s="1238"/>
      <c r="G31" s="1238"/>
      <c r="H31" s="1238"/>
      <c r="I31" s="1238"/>
      <c r="J31" s="1238"/>
      <c r="K31" s="1238"/>
      <c r="L31" s="1238"/>
      <c r="M31" s="1239"/>
      <c r="N31" s="347"/>
    </row>
    <row r="32" spans="1:16" s="177" customFormat="1" thickBot="1" x14ac:dyDescent="0.3">
      <c r="A32" s="311"/>
      <c r="B32" s="319">
        <v>46023</v>
      </c>
      <c r="C32" s="319">
        <v>46054</v>
      </c>
      <c r="D32" s="319">
        <v>46082</v>
      </c>
      <c r="E32" s="319">
        <v>46113</v>
      </c>
      <c r="F32" s="319">
        <v>46143</v>
      </c>
      <c r="G32" s="319">
        <v>46174</v>
      </c>
      <c r="H32" s="319">
        <v>46204</v>
      </c>
      <c r="I32" s="319">
        <v>46235</v>
      </c>
      <c r="J32" s="319">
        <v>46266</v>
      </c>
      <c r="K32" s="319">
        <v>46296</v>
      </c>
      <c r="L32" s="319">
        <v>46327</v>
      </c>
      <c r="M32" s="320">
        <v>46357</v>
      </c>
      <c r="N32" s="348" t="s">
        <v>317</v>
      </c>
    </row>
    <row r="33" spans="1:17" s="177" customFormat="1" ht="14.25" x14ac:dyDescent="0.25">
      <c r="A33" s="321" t="s">
        <v>148</v>
      </c>
      <c r="B33" s="365">
        <v>8</v>
      </c>
      <c r="C33" s="365">
        <f>C25</f>
        <v>5</v>
      </c>
      <c r="D33" s="365"/>
      <c r="E33" s="365"/>
      <c r="F33" s="365"/>
      <c r="G33" s="365"/>
      <c r="H33" s="365"/>
      <c r="I33" s="365"/>
      <c r="J33" s="365"/>
      <c r="K33" s="365"/>
      <c r="L33" s="365"/>
      <c r="M33" s="366"/>
      <c r="N33" s="367"/>
      <c r="O33" s="357" t="s">
        <v>318</v>
      </c>
      <c r="P33" s="357"/>
      <c r="Q33" s="357"/>
    </row>
    <row r="34" spans="1:17" s="242" customFormat="1" ht="14.25" x14ac:dyDescent="0.25">
      <c r="A34" s="317" t="s">
        <v>149</v>
      </c>
      <c r="B34" s="369">
        <f t="shared" ref="B34:N34" si="10">B13-B12</f>
        <v>7</v>
      </c>
      <c r="C34" s="369">
        <f t="shared" si="10"/>
        <v>7</v>
      </c>
      <c r="D34" s="369">
        <f t="shared" si="10"/>
        <v>5</v>
      </c>
      <c r="E34" s="369">
        <f t="shared" si="10"/>
        <v>6</v>
      </c>
      <c r="F34" s="369">
        <f t="shared" si="10"/>
        <v>10</v>
      </c>
      <c r="G34" s="369">
        <f t="shared" si="10"/>
        <v>9</v>
      </c>
      <c r="H34" s="369">
        <f t="shared" si="10"/>
        <v>8</v>
      </c>
      <c r="I34" s="369">
        <f t="shared" si="10"/>
        <v>6</v>
      </c>
      <c r="J34" s="369">
        <f t="shared" si="10"/>
        <v>5</v>
      </c>
      <c r="K34" s="369">
        <f t="shared" si="10"/>
        <v>4</v>
      </c>
      <c r="L34" s="369">
        <f t="shared" si="10"/>
        <v>4</v>
      </c>
      <c r="M34" s="370">
        <f t="shared" si="10"/>
        <v>3</v>
      </c>
      <c r="N34" s="349">
        <f t="shared" si="10"/>
        <v>107</v>
      </c>
    </row>
    <row r="35" spans="1:17" s="303" customFormat="1" ht="12.75" thickBot="1" x14ac:dyDescent="0.25">
      <c r="A35" s="318" t="s">
        <v>203</v>
      </c>
      <c r="B35" s="315">
        <f>B33-B34</f>
        <v>1</v>
      </c>
      <c r="C35" s="315">
        <f t="shared" ref="C35:M35" si="11">C33-C34</f>
        <v>-2</v>
      </c>
      <c r="D35" s="315">
        <f t="shared" si="11"/>
        <v>-5</v>
      </c>
      <c r="E35" s="315">
        <f t="shared" si="11"/>
        <v>-6</v>
      </c>
      <c r="F35" s="315">
        <f t="shared" si="11"/>
        <v>-10</v>
      </c>
      <c r="G35" s="315">
        <f t="shared" si="11"/>
        <v>-9</v>
      </c>
      <c r="H35" s="315">
        <f t="shared" si="11"/>
        <v>-8</v>
      </c>
      <c r="I35" s="315">
        <f t="shared" si="11"/>
        <v>-6</v>
      </c>
      <c r="J35" s="315">
        <f t="shared" si="11"/>
        <v>-5</v>
      </c>
      <c r="K35" s="315">
        <f t="shared" si="11"/>
        <v>-4</v>
      </c>
      <c r="L35" s="315">
        <f t="shared" si="11"/>
        <v>-4</v>
      </c>
      <c r="M35" s="316">
        <f t="shared" si="11"/>
        <v>-3</v>
      </c>
      <c r="N35" s="350">
        <f t="shared" ref="N35" si="12">N33-N34</f>
        <v>-107</v>
      </c>
    </row>
    <row r="36" spans="1:17" s="303" customFormat="1" ht="12" x14ac:dyDescent="0.2">
      <c r="A36" s="313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</row>
    <row r="37" spans="1:17" s="177" customFormat="1" ht="14.25" x14ac:dyDescent="0.25">
      <c r="A37" s="1240" t="s">
        <v>124</v>
      </c>
      <c r="B37" s="1240"/>
      <c r="C37" s="1240"/>
      <c r="D37" s="1240"/>
      <c r="E37" s="1240"/>
      <c r="F37" s="1240"/>
      <c r="G37" s="1240"/>
      <c r="H37" s="1240"/>
      <c r="I37" s="1240"/>
      <c r="J37" s="1240"/>
      <c r="K37" s="1240"/>
      <c r="L37" s="1240"/>
      <c r="M37" s="1240"/>
      <c r="N37" s="314"/>
    </row>
    <row r="38" spans="1:17" s="177" customFormat="1" ht="14.25" x14ac:dyDescent="0.25">
      <c r="B38" s="258" t="s">
        <v>119</v>
      </c>
      <c r="C38" s="258" t="s">
        <v>91</v>
      </c>
      <c r="D38" s="258" t="s">
        <v>125</v>
      </c>
      <c r="E38" s="258" t="s">
        <v>126</v>
      </c>
      <c r="F38" s="258" t="s">
        <v>127</v>
      </c>
      <c r="G38" s="1226" t="s">
        <v>191</v>
      </c>
      <c r="H38" s="1226"/>
      <c r="I38" s="1226" t="s">
        <v>190</v>
      </c>
      <c r="J38" s="1226"/>
      <c r="K38" s="179"/>
      <c r="L38" s="1224"/>
      <c r="M38" s="1224"/>
      <c r="N38" s="208"/>
    </row>
    <row r="39" spans="1:17" s="177" customFormat="1" ht="14.25" x14ac:dyDescent="0.25">
      <c r="A39" s="259" t="s">
        <v>192</v>
      </c>
      <c r="B39" s="188"/>
      <c r="C39" s="188"/>
      <c r="D39" s="188"/>
      <c r="E39" s="188"/>
      <c r="F39" s="188"/>
      <c r="G39" s="1218"/>
      <c r="H39" s="1218"/>
      <c r="I39" s="1218"/>
      <c r="J39" s="1218"/>
      <c r="L39" s="1225"/>
      <c r="M39" s="1225"/>
      <c r="N39" s="209"/>
    </row>
    <row r="40" spans="1:17" s="177" customFormat="1" ht="14.25" x14ac:dyDescent="0.25">
      <c r="A40" s="259" t="s">
        <v>193</v>
      </c>
      <c r="B40" s="188"/>
      <c r="C40" s="188"/>
      <c r="D40" s="188"/>
      <c r="E40" s="188"/>
      <c r="F40" s="188"/>
      <c r="G40" s="1218"/>
      <c r="H40" s="1218"/>
      <c r="I40" s="1218"/>
      <c r="J40" s="1218"/>
    </row>
    <row r="41" spans="1:17" s="177" customFormat="1" ht="14.25" x14ac:dyDescent="0.25">
      <c r="A41" s="257"/>
      <c r="G41" s="209"/>
      <c r="H41" s="209"/>
      <c r="I41" s="209"/>
      <c r="J41" s="209"/>
    </row>
    <row r="42" spans="1:17" s="177" customFormat="1" ht="14.25" x14ac:dyDescent="0.25">
      <c r="D42" s="260"/>
      <c r="E42" s="261" t="s">
        <v>87</v>
      </c>
      <c r="F42" s="261" t="s">
        <v>89</v>
      </c>
      <c r="G42" s="261" t="s">
        <v>88</v>
      </c>
      <c r="H42" s="261" t="s">
        <v>90</v>
      </c>
      <c r="I42" s="261" t="s">
        <v>91</v>
      </c>
    </row>
    <row r="43" spans="1:17" s="177" customFormat="1" ht="14.25" x14ac:dyDescent="0.25">
      <c r="D43" s="188" t="s">
        <v>128</v>
      </c>
      <c r="E43" s="188">
        <v>31</v>
      </c>
      <c r="F43" s="188">
        <v>25</v>
      </c>
      <c r="G43" s="188">
        <v>18</v>
      </c>
      <c r="H43" s="188">
        <v>6</v>
      </c>
      <c r="I43" s="188">
        <v>5</v>
      </c>
    </row>
    <row r="44" spans="1:17" s="177" customFormat="1" ht="14.25" x14ac:dyDescent="0.25">
      <c r="D44" s="188" t="s">
        <v>129</v>
      </c>
      <c r="E44" s="188"/>
      <c r="F44" s="210">
        <f>F43/E43</f>
        <v>0.80645161290322576</v>
      </c>
      <c r="G44" s="210">
        <f t="shared" ref="G44:I44" si="13">G43/F43</f>
        <v>0.72</v>
      </c>
      <c r="H44" s="210">
        <f t="shared" si="13"/>
        <v>0.33333333333333331</v>
      </c>
      <c r="I44" s="211">
        <f t="shared" si="13"/>
        <v>0.83333333333333337</v>
      </c>
    </row>
    <row r="45" spans="1:17" s="177" customFormat="1" ht="14.25" x14ac:dyDescent="0.25">
      <c r="A45" s="203" t="s">
        <v>98</v>
      </c>
      <c r="B45" s="212" t="s">
        <v>147</v>
      </c>
      <c r="C45" s="179" t="s">
        <v>99</v>
      </c>
      <c r="D45" s="179"/>
      <c r="E45" s="212" t="s">
        <v>137</v>
      </c>
      <c r="F45" s="179" t="s">
        <v>100</v>
      </c>
      <c r="G45" s="179"/>
      <c r="H45" s="212" t="s">
        <v>101</v>
      </c>
      <c r="I45" s="179" t="s">
        <v>102</v>
      </c>
      <c r="Q45" s="174"/>
    </row>
    <row r="46" spans="1:17" s="177" customFormat="1" ht="14.25" x14ac:dyDescent="0.25">
      <c r="A46" s="174" t="s">
        <v>194</v>
      </c>
      <c r="B46" s="174"/>
    </row>
    <row r="47" spans="1:17" s="177" customFormat="1" ht="14.25" x14ac:dyDescent="0.25">
      <c r="A47" s="177" t="s">
        <v>123</v>
      </c>
      <c r="B47" s="399"/>
    </row>
    <row r="48" spans="1:17" s="177" customFormat="1" ht="14.25" x14ac:dyDescent="0.25">
      <c r="A48" s="177" t="s">
        <v>150</v>
      </c>
      <c r="B48" s="399"/>
    </row>
    <row r="49" spans="1:16" s="177" customFormat="1" ht="14.25" x14ac:dyDescent="0.25"/>
    <row r="50" spans="1:16" s="177" customFormat="1" thickBot="1" x14ac:dyDescent="0.3">
      <c r="A50" s="1234" t="s">
        <v>143</v>
      </c>
      <c r="B50" s="1234"/>
      <c r="C50" s="1234"/>
      <c r="D50" s="1234"/>
      <c r="E50" s="1234"/>
      <c r="F50" s="1234"/>
      <c r="G50" s="1234"/>
      <c r="H50" s="1234"/>
      <c r="I50" s="1234"/>
      <c r="J50" s="1234"/>
      <c r="K50" s="1234"/>
      <c r="L50" s="1234"/>
      <c r="M50" s="1234"/>
      <c r="N50" s="314"/>
    </row>
    <row r="51" spans="1:16" s="177" customFormat="1" ht="14.25" x14ac:dyDescent="0.25">
      <c r="A51" s="243"/>
      <c r="B51" s="244" t="s">
        <v>204</v>
      </c>
      <c r="C51" s="244" t="s">
        <v>207</v>
      </c>
      <c r="D51" s="244" t="s">
        <v>208</v>
      </c>
      <c r="E51" s="244" t="s">
        <v>209</v>
      </c>
      <c r="F51" s="244" t="s">
        <v>210</v>
      </c>
      <c r="G51" s="244" t="s">
        <v>211</v>
      </c>
      <c r="H51" s="244" t="s">
        <v>212</v>
      </c>
      <c r="I51" s="208"/>
      <c r="J51" s="256" t="s">
        <v>103</v>
      </c>
      <c r="K51" s="256"/>
      <c r="L51" s="256"/>
      <c r="M51" s="256"/>
      <c r="N51" s="256"/>
    </row>
    <row r="52" spans="1:16" s="177" customFormat="1" ht="14.25" x14ac:dyDescent="0.25">
      <c r="A52" s="251" t="s">
        <v>33</v>
      </c>
      <c r="B52" s="252" t="s">
        <v>205</v>
      </c>
      <c r="C52" s="252" t="s">
        <v>206</v>
      </c>
      <c r="D52" s="252" t="s">
        <v>206</v>
      </c>
      <c r="E52" s="252" t="s">
        <v>206</v>
      </c>
      <c r="F52" s="252" t="s">
        <v>206</v>
      </c>
      <c r="G52" s="252" t="s">
        <v>206</v>
      </c>
      <c r="H52" s="252" t="s">
        <v>215</v>
      </c>
      <c r="I52" s="208"/>
      <c r="J52" s="256"/>
      <c r="K52" s="256"/>
      <c r="L52" s="256"/>
      <c r="M52" s="256"/>
      <c r="N52" s="256"/>
    </row>
    <row r="53" spans="1:16" s="177" customFormat="1" ht="14.25" x14ac:dyDescent="0.25">
      <c r="A53" s="245" t="s">
        <v>62</v>
      </c>
      <c r="B53" s="247" t="s">
        <v>213</v>
      </c>
      <c r="C53" s="247" t="s">
        <v>216</v>
      </c>
      <c r="D53" s="246">
        <v>0.83333333333333337</v>
      </c>
      <c r="E53" s="246">
        <v>0.2</v>
      </c>
      <c r="F53" s="246">
        <v>0.16666666666666666</v>
      </c>
      <c r="G53" s="246">
        <v>0.25</v>
      </c>
      <c r="H53" s="248">
        <v>0.58064516129032262</v>
      </c>
      <c r="I53" s="208"/>
      <c r="J53" s="256"/>
      <c r="K53" s="256"/>
      <c r="L53" s="256"/>
      <c r="M53" s="256"/>
      <c r="N53" s="256"/>
    </row>
    <row r="54" spans="1:16" s="177" customFormat="1" ht="14.25" x14ac:dyDescent="0.25">
      <c r="A54" s="177" t="s">
        <v>65</v>
      </c>
      <c r="B54" s="246"/>
      <c r="C54" s="246"/>
      <c r="D54" s="246"/>
      <c r="E54" s="246"/>
      <c r="F54" s="246"/>
      <c r="G54" s="246"/>
      <c r="H54" s="248"/>
      <c r="I54" s="208"/>
      <c r="J54" s="256"/>
      <c r="K54" s="256"/>
      <c r="L54" s="256"/>
      <c r="M54" s="256"/>
      <c r="N54" s="256"/>
    </row>
    <row r="55" spans="1:16" s="177" customFormat="1" ht="14.25" x14ac:dyDescent="0.25">
      <c r="A55" s="216" t="s">
        <v>22</v>
      </c>
      <c r="B55" s="247" t="s">
        <v>213</v>
      </c>
      <c r="C55" s="246">
        <v>0.5</v>
      </c>
      <c r="D55" s="246">
        <v>0.75</v>
      </c>
      <c r="E55" s="246"/>
      <c r="F55" s="246"/>
      <c r="G55" s="246"/>
      <c r="H55" s="248"/>
      <c r="I55" s="208"/>
      <c r="J55" s="256"/>
      <c r="K55" s="256"/>
      <c r="L55" s="256"/>
      <c r="M55" s="256"/>
      <c r="N55" s="256"/>
    </row>
    <row r="56" spans="1:16" s="177" customFormat="1" ht="14.25" x14ac:dyDescent="0.25">
      <c r="A56" s="177" t="s">
        <v>69</v>
      </c>
      <c r="B56" s="246"/>
      <c r="C56" s="246"/>
      <c r="D56" s="246"/>
      <c r="E56" s="246"/>
      <c r="F56" s="246"/>
      <c r="G56" s="246"/>
      <c r="H56" s="248"/>
      <c r="I56" s="208"/>
      <c r="J56" s="256"/>
      <c r="K56" s="256"/>
      <c r="L56" s="256"/>
      <c r="M56" s="256"/>
      <c r="N56" s="256"/>
    </row>
    <row r="57" spans="1:16" s="177" customFormat="1" ht="14.25" x14ac:dyDescent="0.25">
      <c r="A57" s="216" t="s">
        <v>71</v>
      </c>
      <c r="B57" s="246"/>
      <c r="C57" s="246"/>
      <c r="D57" s="246"/>
      <c r="E57" s="246"/>
      <c r="F57" s="246"/>
      <c r="G57" s="246"/>
      <c r="H57" s="248"/>
      <c r="I57" s="208"/>
      <c r="J57" s="256"/>
      <c r="K57" s="256"/>
      <c r="L57" s="256"/>
      <c r="M57" s="256"/>
      <c r="N57" s="256"/>
    </row>
    <row r="58" spans="1:16" s="177" customFormat="1" ht="14.25" x14ac:dyDescent="0.25">
      <c r="A58" s="253" t="s">
        <v>73</v>
      </c>
      <c r="B58" s="254"/>
      <c r="C58" s="254"/>
      <c r="D58" s="254"/>
      <c r="E58" s="254"/>
      <c r="F58" s="254"/>
      <c r="G58" s="254"/>
      <c r="H58" s="255"/>
      <c r="I58" s="208"/>
      <c r="J58" s="256"/>
      <c r="K58" s="256"/>
      <c r="L58" s="256"/>
      <c r="M58" s="256"/>
      <c r="N58" s="256"/>
    </row>
    <row r="59" spans="1:16" s="177" customFormat="1" ht="14.25" x14ac:dyDescent="0.25">
      <c r="A59" s="244" t="s">
        <v>214</v>
      </c>
      <c r="B59" s="244" t="s">
        <v>217</v>
      </c>
      <c r="C59" s="249">
        <v>0.75</v>
      </c>
      <c r="D59" s="250">
        <v>0.8</v>
      </c>
      <c r="E59" s="249">
        <v>0.2</v>
      </c>
      <c r="F59" s="249">
        <v>0.16666666666666666</v>
      </c>
      <c r="G59" s="249">
        <v>0.25</v>
      </c>
      <c r="H59" s="249"/>
      <c r="I59" s="208"/>
      <c r="J59" s="256"/>
      <c r="K59" s="256"/>
      <c r="L59" s="256"/>
      <c r="M59" s="256"/>
      <c r="N59" s="256"/>
    </row>
    <row r="60" spans="1:16" s="213" customFormat="1" thickBot="1" x14ac:dyDescent="0.3">
      <c r="A60" s="1234" t="s">
        <v>135</v>
      </c>
      <c r="B60" s="1234"/>
      <c r="C60" s="1234"/>
      <c r="D60" s="1234"/>
      <c r="E60" s="1234"/>
      <c r="F60" s="1234"/>
      <c r="G60" s="1234"/>
      <c r="H60" s="1234"/>
      <c r="I60" s="1234"/>
      <c r="J60" s="1234"/>
      <c r="K60" s="1234"/>
      <c r="L60" s="1235"/>
      <c r="M60" s="1236"/>
      <c r="N60" s="471"/>
      <c r="O60" s="472"/>
      <c r="P60" s="179"/>
    </row>
    <row r="61" spans="1:16" s="177" customFormat="1" ht="28.5" x14ac:dyDescent="0.25">
      <c r="A61" s="214" t="s">
        <v>33</v>
      </c>
      <c r="B61" s="215" t="s">
        <v>110</v>
      </c>
      <c r="C61" s="215" t="s">
        <v>111</v>
      </c>
      <c r="D61" s="215" t="s">
        <v>112</v>
      </c>
      <c r="E61" s="215" t="s">
        <v>38</v>
      </c>
      <c r="F61" s="215" t="s">
        <v>84</v>
      </c>
      <c r="G61" s="215" t="s">
        <v>113</v>
      </c>
      <c r="H61" s="215" t="s">
        <v>114</v>
      </c>
      <c r="I61" s="215" t="s">
        <v>85</v>
      </c>
      <c r="J61" s="215" t="s">
        <v>145</v>
      </c>
      <c r="K61" s="473" t="s">
        <v>115</v>
      </c>
      <c r="L61" s="477" t="s">
        <v>116</v>
      </c>
      <c r="M61" s="478" t="s">
        <v>117</v>
      </c>
      <c r="N61" s="478"/>
      <c r="O61" s="479"/>
    </row>
    <row r="62" spans="1:16" s="177" customFormat="1" ht="14.25" x14ac:dyDescent="0.25">
      <c r="A62" s="216" t="s">
        <v>62</v>
      </c>
      <c r="B62" s="189"/>
      <c r="C62" s="189"/>
      <c r="D62" s="189"/>
      <c r="E62" s="189"/>
      <c r="F62" s="189"/>
      <c r="G62" s="189"/>
      <c r="H62" s="189"/>
      <c r="I62" s="189"/>
      <c r="J62" s="217"/>
      <c r="K62" s="474"/>
      <c r="L62" s="480"/>
      <c r="M62" s="216"/>
      <c r="N62" s="216"/>
      <c r="O62" s="455"/>
    </row>
    <row r="63" spans="1:16" s="177" customFormat="1" ht="14.25" x14ac:dyDescent="0.25">
      <c r="A63" s="177" t="s">
        <v>65</v>
      </c>
      <c r="B63" s="218"/>
      <c r="C63" s="218"/>
      <c r="D63" s="218"/>
      <c r="E63" s="218"/>
      <c r="F63" s="218"/>
      <c r="G63" s="218"/>
      <c r="H63" s="218"/>
      <c r="I63" s="218"/>
      <c r="J63" s="219"/>
      <c r="K63" s="475"/>
      <c r="L63" s="481"/>
      <c r="O63" s="455"/>
    </row>
    <row r="64" spans="1:16" s="177" customFormat="1" ht="14.25" x14ac:dyDescent="0.25">
      <c r="A64" s="216" t="s">
        <v>22</v>
      </c>
      <c r="B64" s="189"/>
      <c r="C64" s="189"/>
      <c r="D64" s="189"/>
      <c r="E64" s="189"/>
      <c r="F64" s="189"/>
      <c r="G64" s="189"/>
      <c r="H64" s="189"/>
      <c r="I64" s="189"/>
      <c r="J64" s="217"/>
      <c r="K64" s="474"/>
      <c r="L64" s="480"/>
      <c r="M64" s="216"/>
      <c r="N64" s="216"/>
      <c r="O64" s="455"/>
    </row>
    <row r="65" spans="1:22" s="177" customFormat="1" ht="14.25" x14ac:dyDescent="0.25">
      <c r="A65" s="177" t="s">
        <v>69</v>
      </c>
      <c r="B65" s="218"/>
      <c r="C65" s="218"/>
      <c r="D65" s="218"/>
      <c r="E65" s="218"/>
      <c r="F65" s="218"/>
      <c r="G65" s="218"/>
      <c r="H65" s="218"/>
      <c r="I65" s="218"/>
      <c r="J65" s="219"/>
      <c r="K65" s="475"/>
      <c r="L65" s="481"/>
      <c r="O65" s="455"/>
    </row>
    <row r="66" spans="1:22" s="177" customFormat="1" ht="14.25" x14ac:dyDescent="0.25">
      <c r="A66" s="216" t="s">
        <v>71</v>
      </c>
      <c r="B66" s="189"/>
      <c r="C66" s="189"/>
      <c r="D66" s="189"/>
      <c r="E66" s="189"/>
      <c r="F66" s="189"/>
      <c r="G66" s="189"/>
      <c r="H66" s="189"/>
      <c r="I66" s="189"/>
      <c r="J66" s="217"/>
      <c r="K66" s="474"/>
      <c r="L66" s="480"/>
      <c r="M66" s="216"/>
      <c r="N66" s="216"/>
      <c r="O66" s="455"/>
    </row>
    <row r="67" spans="1:22" s="179" customFormat="1" ht="14.25" x14ac:dyDescent="0.25">
      <c r="A67" s="177" t="s">
        <v>73</v>
      </c>
      <c r="B67" s="218"/>
      <c r="C67" s="218"/>
      <c r="D67" s="218"/>
      <c r="E67" s="218"/>
      <c r="F67" s="220"/>
      <c r="G67" s="218"/>
      <c r="H67" s="218"/>
      <c r="I67" s="218"/>
      <c r="J67" s="219"/>
      <c r="K67" s="476"/>
      <c r="L67" s="481"/>
      <c r="M67" s="177"/>
      <c r="N67" s="177"/>
      <c r="O67" s="482"/>
    </row>
    <row r="68" spans="1:22" s="179" customFormat="1" thickBot="1" x14ac:dyDescent="0.3">
      <c r="A68" s="221" t="s">
        <v>118</v>
      </c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483"/>
      <c r="M68" s="484"/>
      <c r="N68" s="484"/>
      <c r="O68" s="485"/>
      <c r="Q68" s="177"/>
    </row>
    <row r="69" spans="1:22" s="177" customFormat="1" ht="15" hidden="1" customHeight="1" outlineLevel="1" thickBot="1" x14ac:dyDescent="0.3">
      <c r="A69" s="1245" t="s">
        <v>130</v>
      </c>
      <c r="B69" s="1246"/>
      <c r="C69" s="1246"/>
      <c r="D69" s="1246"/>
      <c r="E69" s="1246"/>
      <c r="F69" s="1246"/>
      <c r="G69" s="1246"/>
      <c r="H69" s="1246"/>
      <c r="I69" s="1246"/>
      <c r="J69" s="1246"/>
      <c r="K69" s="1246"/>
      <c r="L69" s="1247"/>
      <c r="M69" s="1247"/>
      <c r="N69" s="341"/>
      <c r="R69" s="213"/>
      <c r="T69" s="222"/>
      <c r="U69" s="222"/>
      <c r="V69" s="223"/>
    </row>
    <row r="70" spans="1:22" s="177" customFormat="1" ht="15" hidden="1" customHeight="1" outlineLevel="1" x14ac:dyDescent="0.25">
      <c r="A70" s="224"/>
      <c r="B70" s="225">
        <v>46023</v>
      </c>
      <c r="C70" s="225">
        <v>46054</v>
      </c>
      <c r="D70" s="225">
        <v>46082</v>
      </c>
      <c r="E70" s="225">
        <v>46113</v>
      </c>
      <c r="F70" s="225">
        <v>46143</v>
      </c>
      <c r="G70" s="225">
        <v>46174</v>
      </c>
      <c r="H70" s="225">
        <v>46204</v>
      </c>
      <c r="I70" s="225">
        <v>46235</v>
      </c>
      <c r="J70" s="225">
        <v>46266</v>
      </c>
      <c r="K70" s="225">
        <v>46296</v>
      </c>
      <c r="L70" s="225">
        <v>46327</v>
      </c>
      <c r="M70" s="225">
        <v>46357</v>
      </c>
      <c r="N70" s="225">
        <v>46357</v>
      </c>
      <c r="R70" s="213"/>
      <c r="T70" s="222"/>
      <c r="U70" s="222"/>
      <c r="V70" s="223"/>
    </row>
    <row r="71" spans="1:22" s="177" customFormat="1" ht="15" hidden="1" customHeight="1" outlineLevel="1" x14ac:dyDescent="0.25">
      <c r="A71" s="217" t="s">
        <v>132</v>
      </c>
      <c r="B71" s="226"/>
      <c r="C71" s="226"/>
      <c r="D71" s="227"/>
      <c r="E71" s="189"/>
      <c r="F71" s="189"/>
      <c r="G71" s="217"/>
      <c r="H71" s="217"/>
      <c r="I71" s="217"/>
      <c r="J71" s="217"/>
      <c r="K71" s="217"/>
      <c r="L71" s="217"/>
      <c r="M71" s="217"/>
      <c r="N71" s="217"/>
      <c r="R71" s="213"/>
      <c r="T71" s="222"/>
      <c r="U71" s="222"/>
      <c r="V71" s="223"/>
    </row>
    <row r="72" spans="1:22" s="177" customFormat="1" hidden="1" outlineLevel="1" thickTop="1" x14ac:dyDescent="0.25">
      <c r="A72" s="217" t="s">
        <v>121</v>
      </c>
      <c r="B72" s="468"/>
      <c r="C72" s="468"/>
      <c r="D72" s="227"/>
      <c r="E72" s="189"/>
      <c r="F72" s="189"/>
      <c r="G72" s="217"/>
      <c r="H72" s="217"/>
      <c r="I72" s="217"/>
      <c r="J72" s="217"/>
      <c r="K72" s="217"/>
      <c r="L72" s="217"/>
      <c r="M72" s="217"/>
      <c r="N72" s="217"/>
      <c r="R72" s="174"/>
      <c r="S72" s="174"/>
      <c r="T72" s="174"/>
      <c r="U72" s="174"/>
      <c r="V72" s="174"/>
    </row>
    <row r="73" spans="1:22" s="177" customFormat="1" hidden="1" outlineLevel="1" thickTop="1" x14ac:dyDescent="0.25">
      <c r="A73" s="217" t="s">
        <v>133</v>
      </c>
      <c r="B73" s="468"/>
      <c r="C73" s="468"/>
      <c r="D73" s="227"/>
      <c r="E73" s="189"/>
      <c r="F73" s="189"/>
      <c r="G73" s="217"/>
      <c r="H73" s="217"/>
      <c r="I73" s="217"/>
      <c r="J73" s="217"/>
      <c r="K73" s="217"/>
      <c r="L73" s="217"/>
      <c r="M73" s="217"/>
      <c r="N73" s="217"/>
      <c r="R73" s="174"/>
      <c r="S73" s="174"/>
      <c r="T73" s="174"/>
      <c r="U73" s="174"/>
      <c r="V73" s="174"/>
    </row>
    <row r="74" spans="1:22" s="177" customFormat="1" hidden="1" outlineLevel="1" thickTop="1" x14ac:dyDescent="0.25">
      <c r="A74" s="228" t="s">
        <v>134</v>
      </c>
      <c r="B74" s="469"/>
      <c r="C74" s="469"/>
      <c r="D74" s="229"/>
      <c r="E74" s="190"/>
      <c r="F74" s="190"/>
      <c r="G74" s="228"/>
      <c r="H74" s="228"/>
      <c r="I74" s="228"/>
      <c r="J74" s="228"/>
      <c r="K74" s="228"/>
      <c r="L74" s="228"/>
      <c r="M74" s="228"/>
      <c r="N74" s="228"/>
      <c r="R74" s="174"/>
      <c r="S74" s="174"/>
      <c r="T74" s="174"/>
      <c r="U74" s="174"/>
      <c r="V74" s="174"/>
    </row>
    <row r="75" spans="1:22" s="177" customFormat="1" collapsed="1" thickTop="1" x14ac:dyDescent="0.25">
      <c r="B75" s="470"/>
      <c r="C75" s="470"/>
      <c r="D75" s="175"/>
      <c r="E75" s="174"/>
      <c r="F75" s="174"/>
      <c r="R75" s="174"/>
      <c r="S75" s="174"/>
      <c r="T75" s="174"/>
      <c r="U75" s="174"/>
      <c r="V75" s="174"/>
    </row>
    <row r="76" spans="1:22" s="177" customFormat="1" ht="14.25" x14ac:dyDescent="0.25">
      <c r="A76" s="1227" t="s">
        <v>146</v>
      </c>
      <c r="B76" s="1228"/>
      <c r="C76" s="1228"/>
      <c r="D76" s="1229"/>
      <c r="E76" s="1229"/>
      <c r="F76" s="1229"/>
      <c r="G76" s="1229"/>
      <c r="H76" s="1229"/>
      <c r="I76" s="1229"/>
      <c r="J76" s="1229"/>
      <c r="K76" s="1229"/>
      <c r="L76" s="1229"/>
      <c r="M76" s="1229"/>
      <c r="N76" s="341"/>
      <c r="R76" s="174"/>
      <c r="S76" s="174"/>
      <c r="T76" s="174"/>
      <c r="U76" s="174"/>
      <c r="V76" s="174"/>
    </row>
    <row r="77" spans="1:22" s="177" customFormat="1" ht="14.25" x14ac:dyDescent="0.25">
      <c r="A77" s="1212" t="s">
        <v>136</v>
      </c>
      <c r="B77" s="1230"/>
      <c r="C77" s="1230"/>
      <c r="D77" s="1212"/>
      <c r="E77" s="1212"/>
      <c r="F77" s="1212"/>
      <c r="G77" s="1212"/>
      <c r="H77" s="1212"/>
      <c r="I77" s="1212"/>
      <c r="J77" s="1212"/>
      <c r="K77" s="1212"/>
      <c r="L77" s="1212"/>
      <c r="M77" s="1212"/>
      <c r="N77" s="342"/>
      <c r="R77" s="174"/>
      <c r="S77" s="174"/>
      <c r="T77" s="174"/>
      <c r="U77" s="174"/>
      <c r="V77" s="174"/>
    </row>
    <row r="78" spans="1:22" s="177" customFormat="1" ht="14.25" x14ac:dyDescent="0.25">
      <c r="A78" s="230"/>
      <c r="B78" s="231">
        <v>46023</v>
      </c>
      <c r="C78" s="231">
        <v>46054</v>
      </c>
      <c r="D78" s="231">
        <v>46082</v>
      </c>
      <c r="E78" s="231">
        <v>46113</v>
      </c>
      <c r="F78" s="231">
        <v>46143</v>
      </c>
      <c r="G78" s="231">
        <v>46174</v>
      </c>
      <c r="H78" s="231">
        <v>46204</v>
      </c>
      <c r="I78" s="231">
        <v>46235</v>
      </c>
      <c r="J78" s="231">
        <v>46266</v>
      </c>
      <c r="K78" s="231">
        <v>46296</v>
      </c>
      <c r="L78" s="231">
        <v>46327</v>
      </c>
      <c r="M78" s="231">
        <v>46357</v>
      </c>
      <c r="N78" s="231"/>
      <c r="R78" s="174"/>
      <c r="S78" s="174"/>
      <c r="T78" s="174"/>
      <c r="U78" s="174"/>
      <c r="V78" s="174"/>
    </row>
    <row r="79" spans="1:22" s="177" customFormat="1" ht="14.1" customHeight="1" x14ac:dyDescent="0.25">
      <c r="A79" s="177" t="s">
        <v>140</v>
      </c>
      <c r="B79" s="177">
        <f>11+6</f>
        <v>17</v>
      </c>
      <c r="D79" s="175"/>
      <c r="E79" s="174"/>
      <c r="F79" s="174"/>
      <c r="R79" s="174"/>
      <c r="S79" s="174"/>
      <c r="T79" s="174"/>
      <c r="U79" s="174"/>
      <c r="V79" s="174"/>
    </row>
    <row r="80" spans="1:22" s="177" customFormat="1" ht="14.1" customHeight="1" x14ac:dyDescent="0.25">
      <c r="A80" s="177" t="s">
        <v>141</v>
      </c>
      <c r="B80" s="177">
        <f>2+4</f>
        <v>6</v>
      </c>
      <c r="D80" s="175"/>
      <c r="E80" s="174"/>
      <c r="F80" s="174"/>
      <c r="R80" s="174"/>
      <c r="S80" s="174"/>
      <c r="T80" s="174"/>
      <c r="U80" s="174"/>
      <c r="V80" s="174"/>
    </row>
    <row r="81" spans="1:22" s="177" customFormat="1" ht="14.1" customHeight="1" x14ac:dyDescent="0.25">
      <c r="A81" s="177" t="s">
        <v>142</v>
      </c>
      <c r="B81" s="177">
        <f>6+4</f>
        <v>10</v>
      </c>
      <c r="D81" s="175"/>
      <c r="E81" s="174"/>
      <c r="F81" s="174"/>
      <c r="R81" s="174"/>
      <c r="S81" s="174"/>
      <c r="T81" s="174"/>
      <c r="U81" s="174"/>
      <c r="V81" s="174"/>
    </row>
    <row r="82" spans="1:22" s="177" customFormat="1" ht="14.1" customHeight="1" x14ac:dyDescent="0.25">
      <c r="A82" s="177" t="s">
        <v>94</v>
      </c>
      <c r="B82" s="177">
        <v>3</v>
      </c>
      <c r="D82" s="175"/>
      <c r="E82" s="174"/>
      <c r="F82" s="174"/>
      <c r="R82" s="174"/>
      <c r="S82" s="174"/>
      <c r="T82" s="174"/>
      <c r="U82" s="174"/>
      <c r="V82" s="174"/>
    </row>
    <row r="83" spans="1:22" s="177" customFormat="1" ht="14.1" customHeight="1" x14ac:dyDescent="0.25">
      <c r="A83" s="177" t="s">
        <v>95</v>
      </c>
      <c r="B83" s="177">
        <f>2+2</f>
        <v>4</v>
      </c>
      <c r="D83" s="175"/>
      <c r="E83" s="174"/>
      <c r="F83" s="174"/>
      <c r="R83" s="174"/>
      <c r="S83" s="174"/>
      <c r="T83" s="174"/>
      <c r="U83" s="174"/>
      <c r="V83" s="174"/>
    </row>
    <row r="84" spans="1:22" s="177" customFormat="1" ht="14.1" customHeight="1" x14ac:dyDescent="0.25">
      <c r="A84" s="177" t="s">
        <v>96</v>
      </c>
      <c r="B84" s="177">
        <f>3+1</f>
        <v>4</v>
      </c>
      <c r="D84" s="232"/>
      <c r="E84" s="179"/>
      <c r="F84" s="208"/>
      <c r="R84" s="174"/>
      <c r="S84" s="174"/>
      <c r="T84" s="174"/>
      <c r="U84" s="174"/>
      <c r="V84" s="174"/>
    </row>
    <row r="85" spans="1:22" s="177" customFormat="1" ht="14.1" customHeight="1" x14ac:dyDescent="0.25">
      <c r="B85" s="222"/>
      <c r="C85" s="222"/>
      <c r="D85" s="222"/>
      <c r="E85" s="222"/>
      <c r="G85" s="179"/>
      <c r="I85" s="232"/>
      <c r="J85" s="179"/>
      <c r="R85" s="174"/>
      <c r="S85" s="174"/>
      <c r="T85" s="176"/>
      <c r="U85" s="176"/>
      <c r="V85" s="176"/>
    </row>
    <row r="86" spans="1:22" s="177" customFormat="1" ht="14.25" x14ac:dyDescent="0.25">
      <c r="A86" s="1214" t="s">
        <v>104</v>
      </c>
      <c r="B86" s="1214"/>
      <c r="C86" s="1214"/>
      <c r="D86" s="1214"/>
      <c r="E86" s="1214"/>
      <c r="F86" s="1214"/>
      <c r="G86" s="1214"/>
      <c r="H86" s="1214"/>
      <c r="I86" s="1214"/>
      <c r="J86" s="1214"/>
      <c r="K86" s="1214"/>
      <c r="L86" s="1214"/>
      <c r="M86" s="1214"/>
      <c r="N86" s="233"/>
      <c r="R86" s="174"/>
      <c r="S86" s="174"/>
      <c r="T86" s="174"/>
    </row>
    <row r="87" spans="1:22" s="177" customFormat="1" ht="14.25" x14ac:dyDescent="0.25">
      <c r="A87" s="1214"/>
      <c r="B87" s="1215"/>
      <c r="C87" s="1215"/>
      <c r="D87" s="1215"/>
      <c r="E87" s="1215"/>
      <c r="F87" s="1215"/>
      <c r="G87" s="1215"/>
      <c r="H87" s="1215"/>
      <c r="I87" s="1215"/>
      <c r="J87" s="1215"/>
      <c r="K87" s="1215"/>
      <c r="L87" s="1215"/>
      <c r="M87" s="1215"/>
      <c r="N87" s="451"/>
      <c r="O87" s="452"/>
    </row>
    <row r="88" spans="1:22" s="177" customFormat="1" ht="14.25" x14ac:dyDescent="0.25">
      <c r="A88" s="1214"/>
      <c r="B88" s="1216"/>
      <c r="C88" s="1217"/>
      <c r="D88" s="1217"/>
      <c r="E88" s="1217"/>
      <c r="F88" s="1217"/>
      <c r="G88" s="1217"/>
      <c r="H88" s="1217"/>
      <c r="I88" s="1217"/>
      <c r="J88" s="1217"/>
      <c r="K88" s="1217"/>
      <c r="L88" s="1217"/>
      <c r="M88" s="1217"/>
      <c r="N88" s="457"/>
      <c r="O88" s="458"/>
    </row>
    <row r="89" spans="1:22" s="177" customFormat="1" ht="14.25" x14ac:dyDescent="0.25">
      <c r="A89" s="174"/>
      <c r="B89" s="466"/>
      <c r="C89" s="465"/>
      <c r="D89" s="454"/>
      <c r="E89" s="234"/>
      <c r="O89" s="455"/>
    </row>
    <row r="90" spans="1:22" s="177" customFormat="1" ht="14.25" x14ac:dyDescent="0.25">
      <c r="A90" s="1212" t="s">
        <v>138</v>
      </c>
      <c r="B90" s="1213"/>
      <c r="C90" s="1212"/>
      <c r="D90" s="1212"/>
      <c r="E90" s="1212"/>
      <c r="F90" s="1212"/>
      <c r="G90" s="1212"/>
      <c r="H90" s="1212"/>
      <c r="I90" s="1212"/>
      <c r="J90" s="1212"/>
      <c r="K90" s="1212"/>
      <c r="L90" s="1212"/>
      <c r="M90" s="1212"/>
      <c r="N90" s="342"/>
      <c r="O90" s="455"/>
    </row>
    <row r="91" spans="1:22" s="177" customFormat="1" ht="14.25" x14ac:dyDescent="0.25">
      <c r="A91" s="235"/>
      <c r="B91" s="467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455"/>
    </row>
    <row r="92" spans="1:22" s="177" customFormat="1" ht="14.25" x14ac:dyDescent="0.25">
      <c r="A92" s="191" t="s">
        <v>139</v>
      </c>
      <c r="B92" s="459"/>
      <c r="C92" s="192"/>
      <c r="D92" s="453"/>
      <c r="E92" s="193"/>
      <c r="F92" s="194" t="s">
        <v>108</v>
      </c>
      <c r="G92" s="194"/>
      <c r="H92" s="193"/>
      <c r="I92" s="193"/>
      <c r="J92" s="193"/>
      <c r="K92" s="193"/>
      <c r="L92" s="193"/>
      <c r="M92" s="193"/>
      <c r="N92" s="193"/>
      <c r="O92" s="455"/>
    </row>
    <row r="93" spans="1:22" s="177" customFormat="1" ht="14.25" x14ac:dyDescent="0.25">
      <c r="A93" s="236" t="s">
        <v>105</v>
      </c>
      <c r="B93" s="459"/>
      <c r="C93" s="192"/>
      <c r="D93" s="453"/>
      <c r="E93" s="193"/>
      <c r="F93" s="237" t="s">
        <v>198</v>
      </c>
      <c r="G93" s="237"/>
      <c r="H93" s="193"/>
      <c r="I93" s="193"/>
      <c r="J93" s="193"/>
      <c r="K93" s="193"/>
      <c r="L93" s="193"/>
      <c r="M93" s="193"/>
      <c r="N93" s="193"/>
      <c r="O93" s="455"/>
    </row>
    <row r="94" spans="1:22" s="177" customFormat="1" ht="14.25" x14ac:dyDescent="0.25">
      <c r="A94" s="236" t="s">
        <v>106</v>
      </c>
      <c r="B94" s="460"/>
      <c r="C94" s="461"/>
      <c r="D94" s="462"/>
      <c r="E94" s="463"/>
      <c r="F94" s="464" t="s">
        <v>199</v>
      </c>
      <c r="G94" s="464"/>
      <c r="H94" s="463"/>
      <c r="I94" s="463"/>
      <c r="J94" s="463"/>
      <c r="K94" s="463"/>
      <c r="L94" s="463"/>
      <c r="M94" s="463"/>
      <c r="N94" s="463"/>
      <c r="O94" s="456"/>
    </row>
    <row r="95" spans="1:22" s="177" customFormat="1" ht="14.25" x14ac:dyDescent="0.25">
      <c r="A95" s="236" t="s">
        <v>107</v>
      </c>
      <c r="B95" s="192"/>
      <c r="C95" s="192"/>
      <c r="D95" s="193"/>
      <c r="E95" s="193"/>
      <c r="F95" s="237" t="s">
        <v>200</v>
      </c>
      <c r="G95" s="237"/>
      <c r="H95" s="193"/>
      <c r="I95" s="193"/>
      <c r="J95" s="193"/>
      <c r="K95" s="193"/>
      <c r="L95" s="193"/>
      <c r="M95" s="193"/>
      <c r="N95" s="193"/>
    </row>
    <row r="96" spans="1:22" x14ac:dyDescent="0.25">
      <c r="A96" s="172"/>
      <c r="B96" s="185"/>
      <c r="C96" s="185"/>
      <c r="D96" s="186"/>
      <c r="E96" s="186"/>
      <c r="F96" s="184" t="s">
        <v>109</v>
      </c>
      <c r="G96" s="184"/>
      <c r="H96" s="186"/>
      <c r="I96" s="186"/>
      <c r="J96" s="183"/>
      <c r="K96" s="183"/>
      <c r="L96" s="183"/>
      <c r="M96" s="183"/>
      <c r="N96" s="183"/>
    </row>
  </sheetData>
  <mergeCells count="34">
    <mergeCell ref="E7:F7"/>
    <mergeCell ref="H4:I5"/>
    <mergeCell ref="A1:M1"/>
    <mergeCell ref="A69:M69"/>
    <mergeCell ref="A50:M50"/>
    <mergeCell ref="B4:C5"/>
    <mergeCell ref="B6:C6"/>
    <mergeCell ref="B7:C7"/>
    <mergeCell ref="K4:L5"/>
    <mergeCell ref="K6:L6"/>
    <mergeCell ref="K7:L7"/>
    <mergeCell ref="A2:M2"/>
    <mergeCell ref="E4:F5"/>
    <mergeCell ref="H6:I6"/>
    <mergeCell ref="H7:I7"/>
    <mergeCell ref="E6:F6"/>
    <mergeCell ref="A9:M9"/>
    <mergeCell ref="A60:M60"/>
    <mergeCell ref="A31:M31"/>
    <mergeCell ref="A37:M37"/>
    <mergeCell ref="G40:H40"/>
    <mergeCell ref="A90:M90"/>
    <mergeCell ref="A86:M88"/>
    <mergeCell ref="I40:J40"/>
    <mergeCell ref="A11:M11"/>
    <mergeCell ref="A17:M17"/>
    <mergeCell ref="L38:M38"/>
    <mergeCell ref="L39:M39"/>
    <mergeCell ref="G38:H38"/>
    <mergeCell ref="G39:H39"/>
    <mergeCell ref="I38:J38"/>
    <mergeCell ref="I39:J39"/>
    <mergeCell ref="A76:M76"/>
    <mergeCell ref="A77:M77"/>
  </mergeCells>
  <phoneticPr fontId="33" type="noConversion"/>
  <conditionalFormatting sqref="B53:G58">
    <cfRule type="cellIs" dxfId="6" priority="3" operator="greaterThan">
      <formula>"   1/2  "</formula>
    </cfRule>
    <cfRule type="cellIs" dxfId="5" priority="4" operator="greaterThan">
      <formula>0.5</formula>
    </cfRule>
    <cfRule type="cellIs" dxfId="4" priority="5" operator="greaterThan">
      <formula>46024</formula>
    </cfRule>
    <cfRule type="cellIs" dxfId="3" priority="6" operator="lessThan">
      <formula>"   1/2  "</formula>
    </cfRule>
    <cfRule type="cellIs" dxfId="2" priority="7" operator="greaterThan">
      <formula>"   1/2  "</formula>
    </cfRule>
  </conditionalFormatting>
  <conditionalFormatting sqref="B35:N36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45" right="0.45" top="0.5" bottom="0.2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59781f-f8bd-4ad2-951b-8ff3833c2d43">
      <Terms xmlns="http://schemas.microsoft.com/office/infopath/2007/PartnerControls"/>
    </lcf76f155ced4ddcb4097134ff3c332f>
    <TaxCatchAll xmlns="db21b26b-72c0-4335-b1b4-598450cb3a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BD383F56907B46A7D4B13DC3BF9772" ma:contentTypeVersion="16" ma:contentTypeDescription="Create a new document." ma:contentTypeScope="" ma:versionID="09d6a3bf3da35c314269f96199dc7641">
  <xsd:schema xmlns:xsd="http://www.w3.org/2001/XMLSchema" xmlns:xs="http://www.w3.org/2001/XMLSchema" xmlns:p="http://schemas.microsoft.com/office/2006/metadata/properties" xmlns:ns2="db21b26b-72c0-4335-b1b4-598450cb3a13" xmlns:ns3="0459781f-f8bd-4ad2-951b-8ff3833c2d43" targetNamespace="http://schemas.microsoft.com/office/2006/metadata/properties" ma:root="true" ma:fieldsID="375196e3107d09fa8022d78276bcc31a" ns2:_="" ns3:_="">
    <xsd:import namespace="db21b26b-72c0-4335-b1b4-598450cb3a13"/>
    <xsd:import namespace="0459781f-f8bd-4ad2-951b-8ff3833c2d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1b26b-72c0-4335-b1b4-598450cb3a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ea16aee-a985-4266-9d8b-1837d4acf231}" ma:internalName="TaxCatchAll" ma:showField="CatchAllData" ma:web="db21b26b-72c0-4335-b1b4-598450cb3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9781f-f8bd-4ad2-951b-8ff3833c2d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17ad164-4d26-4e66-b5f3-a3a1a00f6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3E8473-C860-4CDE-A237-CF9367D0DCF8}">
  <ds:schemaRefs>
    <ds:schemaRef ds:uri="http://schemas.microsoft.com/office/2006/metadata/properties"/>
    <ds:schemaRef ds:uri="http://schemas.microsoft.com/office/infopath/2007/PartnerControls"/>
    <ds:schemaRef ds:uri="0459781f-f8bd-4ad2-951b-8ff3833c2d43"/>
    <ds:schemaRef ds:uri="db21b26b-72c0-4335-b1b4-598450cb3a13"/>
  </ds:schemaRefs>
</ds:datastoreItem>
</file>

<file path=customXml/itemProps2.xml><?xml version="1.0" encoding="utf-8"?>
<ds:datastoreItem xmlns:ds="http://schemas.openxmlformats.org/officeDocument/2006/customXml" ds:itemID="{4AFC8C71-37F9-4626-ACE8-9E40C73BBC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C0DE87-9028-461A-B3F8-D51D8F953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1b26b-72c0-4335-b1b4-598450cb3a13"/>
    <ds:schemaRef ds:uri="0459781f-f8bd-4ad2-951b-8ff3833c2d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I. LeaseUp Template</vt:lpstr>
      <vt:lpstr>II. Operational Template</vt:lpstr>
      <vt:lpstr>Data Table</vt:lpstr>
      <vt:lpstr>Rent Roll - RPM</vt:lpstr>
      <vt:lpstr>Lease Tracker</vt:lpstr>
      <vt:lpstr>Weekly Traffic</vt:lpstr>
      <vt:lpstr>Leasing Pace</vt:lpstr>
      <vt:lpstr>Rents </vt:lpstr>
      <vt:lpstr>LeaseUp Template</vt:lpstr>
      <vt:lpstr>'I. LeaseUp Template'!Print_Area</vt:lpstr>
      <vt:lpstr>'II. Operational Template'!Print_Area</vt:lpstr>
      <vt:lpstr>'Lease Tracker'!Print_Area</vt:lpstr>
      <vt:lpstr>'LeaseUp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Duay</dc:creator>
  <cp:lastModifiedBy>Carlos Saldierna</cp:lastModifiedBy>
  <cp:lastPrinted>2026-04-24T16:39:20Z</cp:lastPrinted>
  <dcterms:created xsi:type="dcterms:W3CDTF">2026-01-16T22:41:56Z</dcterms:created>
  <dcterms:modified xsi:type="dcterms:W3CDTF">2026-04-27T14:55:16Z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0x01010094BD383F56907B46A7D4B13DC3BF9772</vt:lpwstr>
  </property>
  <property fmtid="{D5CDD505-2E9C-101B-9397-08002B2CF9AE}" pid="3" name="MediaServiceImageTags">
    <vt:lpwstr/>
  </property>
</Properties>
</file>